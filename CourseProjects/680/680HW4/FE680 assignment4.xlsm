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D:\Codes\Python\CourseProjects\680\680HW4\"/>
    </mc:Choice>
  </mc:AlternateContent>
  <bookViews>
    <workbookView xWindow="0" yWindow="456" windowWidth="28800" windowHeight="16044" firstSheet="2" activeTab="2" xr2:uid="{00000000-000D-0000-FFFF-FFFF00000000}"/>
  </bookViews>
  <sheets>
    <sheet name="question1" sheetId="1" r:id="rId1"/>
    <sheet name="question2" sheetId="2" r:id="rId2"/>
    <sheet name="question3" sheetId="3" r:id="rId3"/>
  </sheets>
  <definedNames>
    <definedName name="solver_adj" localSheetId="0" hidden="1">question1!$B$2</definedName>
    <definedName name="solver_adj" localSheetId="2" hidden="1">question3!$L$43</definedName>
    <definedName name="solver_cvg" localSheetId="0" hidden="1">0.0001</definedName>
    <definedName name="solver_cvg" localSheetId="2" hidden="1">0.0001</definedName>
    <definedName name="solver_drv" localSheetId="0" hidden="1">1</definedName>
    <definedName name="solver_drv" localSheetId="2" hidden="1">1</definedName>
    <definedName name="solver_eng" localSheetId="0" hidden="1">1</definedName>
    <definedName name="solver_eng" localSheetId="2" hidden="1">1</definedName>
    <definedName name="solver_est" localSheetId="0" hidden="1">1</definedName>
    <definedName name="solver_est" localSheetId="2" hidden="1">1</definedName>
    <definedName name="solver_itr" localSheetId="0" hidden="1">2147483647</definedName>
    <definedName name="solver_itr" localSheetId="2" hidden="1">2147483647</definedName>
    <definedName name="solver_mip" localSheetId="0" hidden="1">2147483647</definedName>
    <definedName name="solver_mip" localSheetId="2" hidden="1">2147483647</definedName>
    <definedName name="solver_mni" localSheetId="0" hidden="1">30</definedName>
    <definedName name="solver_mni" localSheetId="2" hidden="1">30</definedName>
    <definedName name="solver_mrt" localSheetId="0" hidden="1">0.075</definedName>
    <definedName name="solver_mrt" localSheetId="2" hidden="1">0.075</definedName>
    <definedName name="solver_msl" localSheetId="0" hidden="1">2</definedName>
    <definedName name="solver_msl" localSheetId="2" hidden="1">2</definedName>
    <definedName name="solver_neg" localSheetId="0" hidden="1">1</definedName>
    <definedName name="solver_neg" localSheetId="2" hidden="1">1</definedName>
    <definedName name="solver_nod" localSheetId="0" hidden="1">2147483647</definedName>
    <definedName name="solver_nod" localSheetId="2" hidden="1">2147483647</definedName>
    <definedName name="solver_num" localSheetId="0" hidden="1">0</definedName>
    <definedName name="solver_num" localSheetId="2" hidden="1">0</definedName>
    <definedName name="solver_nwt" localSheetId="0" hidden="1">1</definedName>
    <definedName name="solver_nwt" localSheetId="2" hidden="1">1</definedName>
    <definedName name="solver_opt" localSheetId="0" hidden="1">question1!$L$12</definedName>
    <definedName name="solver_opt" localSheetId="2" hidden="1">question3!$V$43</definedName>
    <definedName name="solver_pre" localSheetId="0" hidden="1">0.000001</definedName>
    <definedName name="solver_pre" localSheetId="2" hidden="1">0.000001</definedName>
    <definedName name="solver_rbv" localSheetId="0" hidden="1">1</definedName>
    <definedName name="solver_rbv" localSheetId="2" hidden="1">1</definedName>
    <definedName name="solver_rlx" localSheetId="0" hidden="1">2</definedName>
    <definedName name="solver_rlx" localSheetId="2" hidden="1">2</definedName>
    <definedName name="solver_rsd" localSheetId="0" hidden="1">0</definedName>
    <definedName name="solver_rsd" localSheetId="2" hidden="1">0</definedName>
    <definedName name="solver_scl" localSheetId="0" hidden="1">1</definedName>
    <definedName name="solver_scl" localSheetId="2" hidden="1">1</definedName>
    <definedName name="solver_sho" localSheetId="0" hidden="1">2</definedName>
    <definedName name="solver_sho" localSheetId="2" hidden="1">2</definedName>
    <definedName name="solver_ssz" localSheetId="0" hidden="1">100</definedName>
    <definedName name="solver_ssz" localSheetId="2" hidden="1">100</definedName>
    <definedName name="solver_tim" localSheetId="0" hidden="1">2147483647</definedName>
    <definedName name="solver_tim" localSheetId="2" hidden="1">2147483647</definedName>
    <definedName name="solver_tol" localSheetId="0" hidden="1">0.01</definedName>
    <definedName name="solver_tol" localSheetId="2" hidden="1">0.01</definedName>
    <definedName name="solver_typ" localSheetId="0" hidden="1">3</definedName>
    <definedName name="solver_typ" localSheetId="2" hidden="1">3</definedName>
    <definedName name="solver_val" localSheetId="0" hidden="1">0.01</definedName>
    <definedName name="solver_val" localSheetId="2" hidden="1">0</definedName>
    <definedName name="solver_ver" localSheetId="0" hidden="1">3</definedName>
    <definedName name="solver_ver" localSheetId="2" hidden="1">3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5" i="3" l="1"/>
  <c r="N4" i="3"/>
  <c r="Q4" i="3"/>
  <c r="M4" i="3"/>
  <c r="O4" i="3"/>
  <c r="P4" i="3"/>
  <c r="T4" i="3"/>
  <c r="H6" i="3"/>
  <c r="N5" i="3"/>
  <c r="Q5" i="3"/>
  <c r="M5" i="3"/>
  <c r="O5" i="3"/>
  <c r="P5" i="3"/>
  <c r="T5" i="3"/>
  <c r="N6" i="3"/>
  <c r="Q6" i="3"/>
  <c r="M6" i="3"/>
  <c r="J5" i="3"/>
  <c r="O6" i="3"/>
  <c r="P6" i="3"/>
  <c r="T6" i="3"/>
  <c r="H7" i="3"/>
  <c r="N7" i="3"/>
  <c r="Q7" i="3"/>
  <c r="M7" i="3"/>
  <c r="O7" i="3"/>
  <c r="P7" i="3"/>
  <c r="T7" i="3"/>
  <c r="N8" i="3"/>
  <c r="Q8" i="3"/>
  <c r="M8" i="3"/>
  <c r="J7" i="3"/>
  <c r="O8" i="3"/>
  <c r="P8" i="3"/>
  <c r="T8" i="3"/>
  <c r="N9" i="3"/>
  <c r="Q9" i="3"/>
  <c r="M9" i="3"/>
  <c r="O9" i="3"/>
  <c r="P9" i="3"/>
  <c r="T9" i="3"/>
  <c r="N10" i="3"/>
  <c r="Q10" i="3"/>
  <c r="M10" i="3"/>
  <c r="O10" i="3"/>
  <c r="P10" i="3"/>
  <c r="T10" i="3"/>
  <c r="H8" i="3"/>
  <c r="N11" i="3"/>
  <c r="Q11" i="3"/>
  <c r="M11" i="3"/>
  <c r="O11" i="3"/>
  <c r="P11" i="3"/>
  <c r="T11" i="3"/>
  <c r="N12" i="3"/>
  <c r="Q12" i="3"/>
  <c r="M12" i="3"/>
  <c r="O12" i="3"/>
  <c r="P12" i="3"/>
  <c r="T12" i="3"/>
  <c r="N13" i="3"/>
  <c r="Q13" i="3"/>
  <c r="M13" i="3"/>
  <c r="O13" i="3"/>
  <c r="P13" i="3"/>
  <c r="T13" i="3"/>
  <c r="N14" i="3"/>
  <c r="Q14" i="3"/>
  <c r="M14" i="3"/>
  <c r="O14" i="3"/>
  <c r="P14" i="3"/>
  <c r="T14" i="3"/>
  <c r="H9" i="3"/>
  <c r="N15" i="3"/>
  <c r="Q15" i="3"/>
  <c r="M15" i="3"/>
  <c r="O15" i="3"/>
  <c r="P15" i="3"/>
  <c r="T15" i="3"/>
  <c r="N16" i="3"/>
  <c r="Q16" i="3"/>
  <c r="M16" i="3"/>
  <c r="O16" i="3"/>
  <c r="P16" i="3"/>
  <c r="T16" i="3"/>
  <c r="N17" i="3"/>
  <c r="Q17" i="3"/>
  <c r="M17" i="3"/>
  <c r="O17" i="3"/>
  <c r="P17" i="3"/>
  <c r="T17" i="3"/>
  <c r="N18" i="3"/>
  <c r="Q18" i="3"/>
  <c r="M18" i="3"/>
  <c r="O18" i="3"/>
  <c r="P18" i="3"/>
  <c r="T18" i="3"/>
  <c r="H10" i="3"/>
  <c r="N19" i="3"/>
  <c r="Q19" i="3"/>
  <c r="M19" i="3"/>
  <c r="O19" i="3"/>
  <c r="P19" i="3"/>
  <c r="T19" i="3"/>
  <c r="N20" i="3"/>
  <c r="Q20" i="3"/>
  <c r="M20" i="3"/>
  <c r="O20" i="3"/>
  <c r="P20" i="3"/>
  <c r="T20" i="3"/>
  <c r="N21" i="3"/>
  <c r="Q21" i="3"/>
  <c r="M21" i="3"/>
  <c r="O21" i="3"/>
  <c r="P21" i="3"/>
  <c r="T21" i="3"/>
  <c r="N22" i="3"/>
  <c r="Q22" i="3"/>
  <c r="M22" i="3"/>
  <c r="O22" i="3"/>
  <c r="P22" i="3"/>
  <c r="T22" i="3"/>
  <c r="H11" i="3"/>
  <c r="N23" i="3"/>
  <c r="Q23" i="3"/>
  <c r="M23" i="3"/>
  <c r="O23" i="3"/>
  <c r="P23" i="3"/>
  <c r="T23" i="3"/>
  <c r="N24" i="3"/>
  <c r="Q24" i="3"/>
  <c r="M24" i="3"/>
  <c r="O24" i="3"/>
  <c r="P24" i="3"/>
  <c r="T24" i="3"/>
  <c r="N25" i="3"/>
  <c r="Q25" i="3"/>
  <c r="M25" i="3"/>
  <c r="O25" i="3"/>
  <c r="P25" i="3"/>
  <c r="T25" i="3"/>
  <c r="N26" i="3"/>
  <c r="Q26" i="3"/>
  <c r="M26" i="3"/>
  <c r="O26" i="3"/>
  <c r="P26" i="3"/>
  <c r="T26" i="3"/>
  <c r="H12" i="3"/>
  <c r="N27" i="3"/>
  <c r="Q27" i="3"/>
  <c r="M27" i="3"/>
  <c r="O27" i="3"/>
  <c r="P27" i="3"/>
  <c r="T27" i="3"/>
  <c r="N28" i="3"/>
  <c r="Q28" i="3"/>
  <c r="M28" i="3"/>
  <c r="O28" i="3"/>
  <c r="P28" i="3"/>
  <c r="T28" i="3"/>
  <c r="N29" i="3"/>
  <c r="Q29" i="3"/>
  <c r="M29" i="3"/>
  <c r="O29" i="3"/>
  <c r="P29" i="3"/>
  <c r="T29" i="3"/>
  <c r="N30" i="3"/>
  <c r="Q30" i="3"/>
  <c r="M30" i="3"/>
  <c r="O30" i="3"/>
  <c r="P30" i="3"/>
  <c r="T30" i="3"/>
  <c r="H13" i="3"/>
  <c r="N31" i="3"/>
  <c r="Q31" i="3"/>
  <c r="M31" i="3"/>
  <c r="O31" i="3"/>
  <c r="P31" i="3"/>
  <c r="T31" i="3"/>
  <c r="N32" i="3"/>
  <c r="Q32" i="3"/>
  <c r="M32" i="3"/>
  <c r="O32" i="3"/>
  <c r="P32" i="3"/>
  <c r="T32" i="3"/>
  <c r="N33" i="3"/>
  <c r="Q33" i="3"/>
  <c r="M33" i="3"/>
  <c r="O33" i="3"/>
  <c r="P33" i="3"/>
  <c r="T33" i="3"/>
  <c r="N34" i="3"/>
  <c r="Q34" i="3"/>
  <c r="M34" i="3"/>
  <c r="O34" i="3"/>
  <c r="P34" i="3"/>
  <c r="T34" i="3"/>
  <c r="H14" i="3"/>
  <c r="N35" i="3"/>
  <c r="Q35" i="3"/>
  <c r="M35" i="3"/>
  <c r="O35" i="3"/>
  <c r="P35" i="3"/>
  <c r="T35" i="3"/>
  <c r="N36" i="3"/>
  <c r="Q36" i="3"/>
  <c r="M36" i="3"/>
  <c r="O36" i="3"/>
  <c r="P36" i="3"/>
  <c r="T36" i="3"/>
  <c r="N37" i="3"/>
  <c r="Q37" i="3"/>
  <c r="M37" i="3"/>
  <c r="O37" i="3"/>
  <c r="P37" i="3"/>
  <c r="T37" i="3"/>
  <c r="N38" i="3"/>
  <c r="Q38" i="3"/>
  <c r="M38" i="3"/>
  <c r="O38" i="3"/>
  <c r="P38" i="3"/>
  <c r="T38" i="3"/>
  <c r="H15" i="3"/>
  <c r="N39" i="3"/>
  <c r="Q39" i="3"/>
  <c r="M39" i="3"/>
  <c r="O39" i="3"/>
  <c r="P39" i="3"/>
  <c r="T39" i="3"/>
  <c r="N40" i="3"/>
  <c r="Q40" i="3"/>
  <c r="M40" i="3"/>
  <c r="O40" i="3"/>
  <c r="P40" i="3"/>
  <c r="T40" i="3"/>
  <c r="N41" i="3"/>
  <c r="Q41" i="3"/>
  <c r="M41" i="3"/>
  <c r="O41" i="3"/>
  <c r="P41" i="3"/>
  <c r="T41" i="3"/>
  <c r="N42" i="3"/>
  <c r="Q42" i="3"/>
  <c r="M42" i="3"/>
  <c r="O42" i="3"/>
  <c r="P42" i="3"/>
  <c r="T42" i="3"/>
  <c r="H16" i="3"/>
  <c r="N43" i="3"/>
  <c r="Q43" i="3"/>
  <c r="M43" i="3"/>
  <c r="O43" i="3"/>
  <c r="P43" i="3"/>
  <c r="T43" i="3"/>
  <c r="U43" i="3"/>
  <c r="AC11" i="3"/>
  <c r="U31" i="3"/>
  <c r="AC10" i="3"/>
  <c r="U23" i="3"/>
  <c r="AC9" i="3"/>
  <c r="U19" i="3"/>
  <c r="AC8" i="3"/>
  <c r="U15" i="3"/>
  <c r="AC7" i="3"/>
  <c r="U11" i="3"/>
  <c r="AC6" i="3"/>
  <c r="U7" i="3"/>
  <c r="AC5" i="3"/>
  <c r="U5" i="3"/>
  <c r="AC4" i="3"/>
  <c r="R4" i="3"/>
  <c r="R5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30" i="3"/>
  <c r="R31" i="3"/>
  <c r="R32" i="3"/>
  <c r="R33" i="3"/>
  <c r="R34" i="3"/>
  <c r="R35" i="3"/>
  <c r="R36" i="3"/>
  <c r="R37" i="3"/>
  <c r="R38" i="3"/>
  <c r="R39" i="3"/>
  <c r="R40" i="3"/>
  <c r="R41" i="3"/>
  <c r="R42" i="3"/>
  <c r="R43" i="3"/>
  <c r="C16" i="3"/>
  <c r="K43" i="3"/>
  <c r="S43" i="3"/>
  <c r="AB11" i="3"/>
  <c r="C15" i="3"/>
  <c r="K31" i="3"/>
  <c r="S31" i="3"/>
  <c r="AB10" i="3"/>
  <c r="C14" i="3"/>
  <c r="K23" i="3"/>
  <c r="S23" i="3"/>
  <c r="AB9" i="3"/>
  <c r="C13" i="3"/>
  <c r="K19" i="3"/>
  <c r="S19" i="3"/>
  <c r="AB8" i="3"/>
  <c r="C12" i="3"/>
  <c r="K15" i="3"/>
  <c r="S15" i="3"/>
  <c r="AB7" i="3"/>
  <c r="C11" i="3"/>
  <c r="K11" i="3"/>
  <c r="S11" i="3"/>
  <c r="AB6" i="3"/>
  <c r="C10" i="3"/>
  <c r="K7" i="3"/>
  <c r="S7" i="3"/>
  <c r="AB5" i="3"/>
  <c r="C9" i="3"/>
  <c r="K5" i="3"/>
  <c r="S5" i="3"/>
  <c r="AB4" i="3"/>
  <c r="AA11" i="3"/>
  <c r="AA10" i="3"/>
  <c r="AA9" i="3"/>
  <c r="AA8" i="3"/>
  <c r="AA7" i="3"/>
  <c r="AA6" i="3"/>
  <c r="AA5" i="3"/>
  <c r="AA4" i="3"/>
  <c r="Z11" i="3"/>
  <c r="Z10" i="3"/>
  <c r="Z9" i="3"/>
  <c r="Z8" i="3"/>
  <c r="Z7" i="3"/>
  <c r="Z6" i="3"/>
  <c r="Z5" i="3"/>
  <c r="Z4" i="3"/>
  <c r="Y11" i="3"/>
  <c r="Y10" i="3"/>
  <c r="Y9" i="3"/>
  <c r="Y8" i="3"/>
  <c r="Y6" i="3"/>
  <c r="Y7" i="3"/>
  <c r="Y5" i="3"/>
  <c r="Y4" i="3"/>
  <c r="J43" i="3"/>
  <c r="X11" i="3"/>
  <c r="J31" i="3"/>
  <c r="X10" i="3"/>
  <c r="J23" i="3"/>
  <c r="X9" i="3"/>
  <c r="J19" i="3"/>
  <c r="X8" i="3"/>
  <c r="J15" i="3"/>
  <c r="X7" i="3"/>
  <c r="J11" i="3"/>
  <c r="X6" i="3"/>
  <c r="X5" i="3"/>
  <c r="X4" i="3"/>
  <c r="H4" i="3"/>
  <c r="H17" i="3"/>
  <c r="H18" i="3"/>
  <c r="H19" i="3"/>
  <c r="H20" i="3"/>
  <c r="H21" i="3"/>
  <c r="H3" i="3"/>
  <c r="K4" i="2"/>
  <c r="F13" i="2"/>
  <c r="G13" i="2"/>
  <c r="H13" i="2"/>
  <c r="K5" i="2"/>
  <c r="F14" i="2"/>
  <c r="G14" i="2"/>
  <c r="H14" i="2"/>
  <c r="K6" i="2"/>
  <c r="F15" i="2"/>
  <c r="G15" i="2"/>
  <c r="H15" i="2"/>
  <c r="K7" i="2"/>
  <c r="F16" i="2"/>
  <c r="G16" i="2"/>
  <c r="H16" i="2"/>
  <c r="H17" i="2"/>
  <c r="E4" i="2"/>
  <c r="F4" i="2"/>
  <c r="G4" i="2"/>
  <c r="H4" i="2"/>
  <c r="E5" i="2"/>
  <c r="F5" i="2"/>
  <c r="G5" i="2"/>
  <c r="H5" i="2"/>
  <c r="E6" i="2"/>
  <c r="F6" i="2"/>
  <c r="G6" i="2"/>
  <c r="H6" i="2"/>
  <c r="E7" i="2"/>
  <c r="F7" i="2"/>
  <c r="G7" i="2"/>
  <c r="H7" i="2"/>
  <c r="H8" i="2"/>
  <c r="L4" i="2"/>
  <c r="M4" i="2"/>
  <c r="N4" i="2"/>
  <c r="L5" i="2"/>
  <c r="M5" i="2"/>
  <c r="N5" i="2"/>
  <c r="L6" i="2"/>
  <c r="M6" i="2"/>
  <c r="N6" i="2"/>
  <c r="L7" i="2"/>
  <c r="M7" i="2"/>
  <c r="N7" i="2"/>
  <c r="N8" i="2"/>
  <c r="L12" i="2"/>
  <c r="L13" i="2"/>
  <c r="E16" i="2"/>
  <c r="E15" i="2"/>
  <c r="E14" i="2"/>
  <c r="E13" i="2"/>
  <c r="E4" i="1"/>
  <c r="F4" i="1"/>
  <c r="L15" i="1"/>
  <c r="G14" i="1"/>
  <c r="G15" i="1"/>
  <c r="G16" i="1"/>
  <c r="G17" i="1"/>
  <c r="G13" i="1"/>
  <c r="M4" i="1"/>
  <c r="E14" i="1"/>
  <c r="F14" i="1"/>
  <c r="H14" i="1"/>
  <c r="E15" i="1"/>
  <c r="F15" i="1"/>
  <c r="H15" i="1"/>
  <c r="E16" i="1"/>
  <c r="F16" i="1"/>
  <c r="H16" i="1"/>
  <c r="E17" i="1"/>
  <c r="F17" i="1"/>
  <c r="H17" i="1"/>
  <c r="E13" i="1"/>
  <c r="F13" i="1"/>
  <c r="H13" i="1"/>
  <c r="M5" i="1"/>
  <c r="M6" i="1"/>
  <c r="M7" i="1"/>
  <c r="M8" i="1"/>
  <c r="G5" i="1"/>
  <c r="G6" i="1"/>
  <c r="G7" i="1"/>
  <c r="G8" i="1"/>
  <c r="G4" i="1"/>
  <c r="E5" i="1"/>
  <c r="F5" i="1"/>
  <c r="H5" i="1"/>
  <c r="H18" i="1"/>
  <c r="K8" i="1"/>
  <c r="L8" i="1"/>
  <c r="N8" i="1"/>
  <c r="K4" i="1"/>
  <c r="L4" i="1"/>
  <c r="N4" i="1"/>
  <c r="H4" i="1"/>
  <c r="E8" i="1"/>
  <c r="F8" i="1"/>
  <c r="H8" i="1"/>
  <c r="E7" i="1"/>
  <c r="F7" i="1"/>
  <c r="H7" i="1"/>
  <c r="E6" i="1"/>
  <c r="F6" i="1"/>
  <c r="H6" i="1"/>
  <c r="K7" i="1"/>
  <c r="L7" i="1"/>
  <c r="N7" i="1"/>
  <c r="K6" i="1"/>
  <c r="L6" i="1"/>
  <c r="N6" i="1"/>
  <c r="K5" i="1"/>
  <c r="L5" i="1"/>
  <c r="N5" i="1"/>
  <c r="H9" i="1"/>
  <c r="N9" i="1"/>
  <c r="V5" i="3"/>
  <c r="L12" i="1"/>
  <c r="L13" i="1"/>
  <c r="V7" i="3"/>
  <c r="V11" i="3"/>
  <c r="V23" i="3"/>
  <c r="V31" i="3"/>
  <c r="V19" i="3"/>
  <c r="V15" i="3"/>
  <c r="V43" i="3"/>
</calcChain>
</file>

<file path=xl/sharedStrings.xml><?xml version="1.0" encoding="utf-8"?>
<sst xmlns="http://schemas.openxmlformats.org/spreadsheetml/2006/main" count="99" uniqueCount="61">
  <si>
    <t>conditional default prob</t>
    <phoneticPr fontId="2" type="noConversion"/>
  </si>
  <si>
    <t>recovery rate</t>
    <phoneticPr fontId="2" type="noConversion"/>
  </si>
  <si>
    <t>riskfree rate</t>
    <phoneticPr fontId="2" type="noConversion"/>
  </si>
  <si>
    <t>PV payments</t>
    <phoneticPr fontId="2" type="noConversion"/>
  </si>
  <si>
    <t>time</t>
    <phoneticPr fontId="2" type="noConversion"/>
  </si>
  <si>
    <t>prob survival</t>
    <phoneticPr fontId="2" type="noConversion"/>
  </si>
  <si>
    <t>payment</t>
    <phoneticPr fontId="2" type="noConversion"/>
  </si>
  <si>
    <t>df</t>
    <phoneticPr fontId="2" type="noConversion"/>
  </si>
  <si>
    <t>PV</t>
    <phoneticPr fontId="2" type="noConversion"/>
  </si>
  <si>
    <t>PV accrued</t>
    <phoneticPr fontId="2" type="noConversion"/>
  </si>
  <si>
    <t>prob default</t>
    <phoneticPr fontId="2" type="noConversion"/>
  </si>
  <si>
    <t>PV default</t>
    <phoneticPr fontId="2" type="noConversion"/>
  </si>
  <si>
    <t>spread</t>
    <phoneticPr fontId="2" type="noConversion"/>
  </si>
  <si>
    <t>spread(bps)</t>
    <phoneticPr fontId="2" type="noConversion"/>
  </si>
  <si>
    <t>credit triangle check</t>
    <phoneticPr fontId="2" type="noConversion"/>
  </si>
  <si>
    <t>spread(in bps)</t>
    <phoneticPr fontId="2" type="noConversion"/>
  </si>
  <si>
    <t>unconditional default prob(1Yr)</t>
    <phoneticPr fontId="2" type="noConversion"/>
  </si>
  <si>
    <t>survival prob</t>
    <phoneticPr fontId="2" type="noConversion"/>
  </si>
  <si>
    <t>default prob</t>
    <phoneticPr fontId="2" type="noConversion"/>
  </si>
  <si>
    <t>tenor</t>
    <phoneticPr fontId="2" type="noConversion"/>
  </si>
  <si>
    <t>CDS</t>
    <phoneticPr fontId="2" type="noConversion"/>
  </si>
  <si>
    <t>Interest Rate Yield</t>
    <phoneticPr fontId="2" type="noConversion"/>
  </si>
  <si>
    <t>6M</t>
    <phoneticPr fontId="2" type="noConversion"/>
  </si>
  <si>
    <t>1M</t>
    <phoneticPr fontId="2" type="noConversion"/>
  </si>
  <si>
    <t>2M</t>
  </si>
  <si>
    <t>3M</t>
  </si>
  <si>
    <t>1Y</t>
    <phoneticPr fontId="2" type="noConversion"/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</si>
  <si>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</si>
  <si>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</si>
  <si>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</si>
  <si>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</si>
  <si>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</si>
  <si>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</si>
  <si>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</si>
  <si>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</si>
  <si>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</si>
  <si>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  <phoneticPr fontId="2" type="noConversion"/>
  </si>
  <si>
    <t>15Y</t>
    <phoneticPr fontId="2" type="noConversion"/>
  </si>
  <si>
    <t>20Y</t>
    <phoneticPr fontId="2" type="noConversion"/>
  </si>
  <si>
    <t>25Y</t>
    <phoneticPr fontId="2" type="noConversion"/>
  </si>
  <si>
    <t>30Y</t>
    <phoneticPr fontId="2" type="noConversion"/>
  </si>
  <si>
    <t>tenor(decimal)</t>
    <phoneticPr fontId="2" type="noConversion"/>
  </si>
  <si>
    <t>coupon</t>
    <phoneticPr fontId="2" type="noConversion"/>
  </si>
  <si>
    <t>recovery</t>
    <phoneticPr fontId="2" type="noConversion"/>
  </si>
  <si>
    <t>coupon freq</t>
    <phoneticPr fontId="2" type="noConversion"/>
  </si>
  <si>
    <t>hazard rate</t>
    <phoneticPr fontId="2" type="noConversion"/>
  </si>
  <si>
    <t>tenor</t>
    <phoneticPr fontId="2" type="noConversion"/>
  </si>
  <si>
    <t>PV premium</t>
    <phoneticPr fontId="2" type="noConversion"/>
  </si>
  <si>
    <t>PV default</t>
    <phoneticPr fontId="2" type="noConversion"/>
  </si>
  <si>
    <t>time</t>
    <phoneticPr fontId="2" type="noConversion"/>
  </si>
  <si>
    <t>spread(number)</t>
    <phoneticPr fontId="2" type="noConversion"/>
  </si>
  <si>
    <t>Survival prob</t>
    <phoneticPr fontId="2" type="noConversion"/>
  </si>
  <si>
    <t>PV01</t>
    <phoneticPr fontId="2" type="noConversion"/>
  </si>
  <si>
    <t>yield(num)</t>
    <phoneticPr fontId="2" type="noConversion"/>
  </si>
  <si>
    <t>yield(%)</t>
    <phoneticPr fontId="2" type="noConversion"/>
  </si>
  <si>
    <t>spread</t>
    <phoneticPr fontId="2" type="noConversion"/>
  </si>
  <si>
    <t>df</t>
    <phoneticPr fontId="2" type="noConversion"/>
  </si>
  <si>
    <t>Pvdefault</t>
    <phoneticPr fontId="2" type="noConversion"/>
  </si>
  <si>
    <t>premium-default</t>
    <phoneticPr fontId="2" type="noConversion"/>
  </si>
  <si>
    <t>hazard exponent</t>
    <phoneticPr fontId="2" type="noConversion"/>
  </si>
  <si>
    <t>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</si>
</sst>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76" formatCode="0.0000"/>
    <numFmt numFmtId="177" formatCode="0.00000"/>
    <numFmt numFmtId="178" formatCode="0.00_);[Red]\(0.00\)"/>
  </numFmts>
  <fonts count="3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3">
    <border>
      <left/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2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</cellStyleXfs>
  <cellXfs count="41">
    <xf numFmtId="0" fontId="0" fillId="0" borderId="0" xfId="0">
      <alignment vertical="center"/>
    </xf>
    <xf numFmtId="176" fontId="0" fillId="0" borderId="0" xfId="0" applyNumberFormat="1">
      <alignment vertical="center"/>
    </xf>
    <xf numFmtId="176" fontId="0" fillId="3" borderId="0" xfId="0" applyNumberFormat="1" applyFill="1">
      <alignment vertical="center"/>
    </xf>
    <xf numFmtId="176" fontId="0" fillId="4" borderId="0" xfId="0" applyNumberFormat="1" applyFill="1">
      <alignment vertical="center"/>
    </xf>
    <xf numFmtId="0" fontId="0" fillId="6" borderId="0" xfId="0" applyFill="1">
      <alignment vertical="center"/>
    </xf>
    <xf numFmtId="176" fontId="0" fillId="5" borderId="0" xfId="1" applyNumberFormat="1" applyFont="1" applyFill="1">
      <alignment vertical="center"/>
    </xf>
    <xf numFmtId="0" fontId="0" fillId="7" borderId="0" xfId="0" applyFill="1">
      <alignment vertical="center"/>
    </xf>
    <xf numFmtId="176" fontId="0" fillId="7" borderId="0" xfId="0" applyNumberFormat="1" applyFill="1">
      <alignment vertical="center"/>
    </xf>
    <xf numFmtId="17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2" xfId="0" applyBorder="1">
      <alignment vertical="center"/>
    </xf>
    <xf numFmtId="176" fontId="0" fillId="0" borderId="0" xfId="0" applyNumberFormat="1" applyBorder="1">
      <alignment vertical="center"/>
    </xf>
    <xf numFmtId="176" fontId="0" fillId="0" borderId="2" xfId="0" applyNumberFormat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76" fontId="0" fillId="5" borderId="5" xfId="0" applyNumberFormat="1" applyFill="1" applyBorder="1">
      <alignment vertical="center"/>
    </xf>
    <xf numFmtId="177" fontId="0" fillId="0" borderId="0" xfId="0" applyNumberFormat="1" applyBorder="1">
      <alignment vertical="center"/>
    </xf>
    <xf numFmtId="176" fontId="0" fillId="4" borderId="5" xfId="0" applyNumberFormat="1" applyFill="1" applyBorder="1">
      <alignment vertical="center"/>
    </xf>
    <xf numFmtId="176" fontId="0" fillId="2" borderId="5" xfId="0" applyNumberFormat="1" applyFill="1" applyBorder="1">
      <alignment vertical="center"/>
    </xf>
    <xf numFmtId="0" fontId="0" fillId="8" borderId="0" xfId="0" applyFill="1">
      <alignment vertical="center"/>
    </xf>
    <xf numFmtId="0" fontId="0" fillId="9" borderId="0" xfId="0" applyFill="1" applyBorder="1">
      <alignment vertical="center"/>
    </xf>
    <xf numFmtId="0" fontId="0" fillId="0" borderId="0" xfId="0" applyFill="1" applyBorder="1">
      <alignment vertical="center"/>
    </xf>
    <xf numFmtId="177" fontId="0" fillId="8" borderId="0" xfId="0" applyNumberFormat="1" applyFill="1">
      <alignment vertical="center"/>
    </xf>
    <xf numFmtId="176" fontId="0" fillId="8" borderId="0" xfId="0" applyNumberFormat="1" applyFill="1">
      <alignment vertical="center"/>
    </xf>
    <xf numFmtId="0" fontId="0" fillId="0" borderId="9" xfId="0" applyFill="1" applyBorder="1">
      <alignment vertical="center"/>
    </xf>
    <xf numFmtId="0" fontId="0" fillId="0" borderId="1" xfId="0" applyFill="1" applyBorder="1">
      <alignment vertical="center"/>
    </xf>
    <xf numFmtId="0" fontId="0" fillId="0" borderId="2" xfId="0" applyFill="1" applyBorder="1">
      <alignment vertical="center"/>
    </xf>
    <xf numFmtId="0" fontId="0" fillId="0" borderId="3" xfId="0" applyFill="1" applyBorder="1">
      <alignment vertical="center"/>
    </xf>
    <xf numFmtId="0" fontId="0" fillId="0" borderId="4" xfId="0" applyFill="1" applyBorder="1">
      <alignment vertical="center"/>
    </xf>
    <xf numFmtId="0" fontId="0" fillId="0" borderId="5" xfId="0" applyFill="1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0" borderId="10" xfId="0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Hazard</a:t>
            </a:r>
            <a:r>
              <a:rPr lang="zh-CN" altLang="en-US"/>
              <a:t> </a:t>
            </a:r>
            <a:r>
              <a:rPr lang="en-US" altLang="zh-CN"/>
              <a:t>Rate</a:t>
            </a:r>
            <a:r>
              <a:rPr lang="zh-CN" altLang="en-US" baseline="0"/>
              <a:t> </a:t>
            </a:r>
            <a:r>
              <a:rPr lang="en-US" altLang="zh-CN" baseline="0"/>
              <a:t>Curve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question3!$X$4:$X$11</c:f>
              <c:numCache>
                <c:formatCode>General</c:formatCode>
                <c:ptCount val="8"/>
                <c:pt idx="0">
                  <c:v>0.5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</c:numCache>
            </c:numRef>
          </c:xVal>
          <c:yVal>
            <c:numRef>
              <c:f>question3!$Y$4:$Y$11</c:f>
              <c:numCache>
                <c:formatCode>0.0000</c:formatCode>
                <c:ptCount val="8"/>
                <c:pt idx="0">
                  <c:v>3.3666668194330274E-3</c:v>
                </c:pt>
                <c:pt idx="1">
                  <c:v>6.2820519701294536E-3</c:v>
                </c:pt>
                <c:pt idx="2">
                  <c:v>7.582669245792502E-3</c:v>
                </c:pt>
                <c:pt idx="3">
                  <c:v>1.2196946698298475E-2</c:v>
                </c:pt>
                <c:pt idx="4">
                  <c:v>1.7915425243184031E-2</c:v>
                </c:pt>
                <c:pt idx="5">
                  <c:v>2.0392098504049321E-2</c:v>
                </c:pt>
                <c:pt idx="6">
                  <c:v>2.9120390577318141E-2</c:v>
                </c:pt>
                <c:pt idx="7">
                  <c:v>2.8489744360575001E-2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64-4FBB-AFC5-A49641DDB2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6052592"/>
        <c:axId val="1820273776"/>
      </c:scatterChart>
      <c:valAx>
        <c:axId val="1846052592"/>
        <c:scaling>
          <c:orientation val="minMax"/>
          <c:max val="1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20273776"/>
        <c:crosses val="autoZero"/>
        <c:crossBetween val="midCat"/>
      </c:valAx>
      <c:valAx>
        <c:axId val="1820273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846052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660400</xdr:colOff>
      <xdr:row>13</xdr:row>
      <xdr:rowOff>5080</xdr:rowOff>
    </xdr:from>
    <xdr:to>
      <xdr:col>28</xdr:col>
      <xdr:colOff>741680</xdr:colOff>
      <xdr:row>27</xdr:row>
      <xdr:rowOff>35560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8"/>
  <sheetViews>
    <sheetView workbookViewId="0">
      <selection activeCell="N12" sqref="N12"/>
    </sheetView>
  </sheetViews>
  <sheetFormatPr defaultColWidth="8.77734375" defaultRowHeight="13.8" x14ac:dyDescent="0.25"/>
  <cols>
    <col min="1" max="1" width="21.6640625" customWidth="1"/>
    <col min="4" max="4" width="9.77734375" customWidth="1"/>
    <col min="5" max="5" width="12.6640625" customWidth="1"/>
    <col min="11" max="11" width="19" customWidth="1"/>
    <col min="13" max="13" width="13" customWidth="1"/>
  </cols>
  <sheetData>
    <row r="1" spans="1:14" ht="14.4" thickBot="1" x14ac:dyDescent="0.3"/>
    <row r="2" spans="1:14" ht="14.4" thickBot="1" x14ac:dyDescent="0.3">
      <c r="A2" s="4" t="s">
        <v>0</v>
      </c>
      <c r="B2" s="4">
        <v>1.6127406076028208E-2</v>
      </c>
      <c r="D2" s="32" t="s">
        <v>3</v>
      </c>
      <c r="E2" s="33"/>
      <c r="F2" s="33"/>
      <c r="G2" s="33"/>
      <c r="H2" s="34"/>
      <c r="J2" s="32" t="s">
        <v>9</v>
      </c>
      <c r="K2" s="33"/>
      <c r="L2" s="33"/>
      <c r="M2" s="33"/>
      <c r="N2" s="34"/>
    </row>
    <row r="3" spans="1:14" x14ac:dyDescent="0.25">
      <c r="A3" s="4" t="s">
        <v>1</v>
      </c>
      <c r="B3" s="4">
        <v>0.4</v>
      </c>
      <c r="D3" s="10" t="s">
        <v>4</v>
      </c>
      <c r="E3" s="11" t="s">
        <v>5</v>
      </c>
      <c r="F3" s="11" t="s">
        <v>6</v>
      </c>
      <c r="G3" s="11" t="s">
        <v>7</v>
      </c>
      <c r="H3" s="12" t="s">
        <v>8</v>
      </c>
      <c r="J3" s="10" t="s">
        <v>4</v>
      </c>
      <c r="K3" s="11" t="s">
        <v>10</v>
      </c>
      <c r="L3" s="11" t="s">
        <v>6</v>
      </c>
      <c r="M3" s="11" t="s">
        <v>7</v>
      </c>
      <c r="N3" s="12" t="s">
        <v>8</v>
      </c>
    </row>
    <row r="4" spans="1:14" x14ac:dyDescent="0.25">
      <c r="A4" s="4" t="s">
        <v>2</v>
      </c>
      <c r="B4" s="4">
        <v>0.05</v>
      </c>
      <c r="D4" s="10">
        <v>1</v>
      </c>
      <c r="E4" s="13">
        <f>1-$B$2</f>
        <v>0.98387259392397175</v>
      </c>
      <c r="F4" s="13">
        <f>E4</f>
        <v>0.98387259392397175</v>
      </c>
      <c r="G4" s="13">
        <f>EXP(-$B$4*D4)</f>
        <v>0.95122942450071402</v>
      </c>
      <c r="H4" s="14">
        <f>F4*G4</f>
        <v>0.93588856130032438</v>
      </c>
      <c r="J4" s="10">
        <v>0.5</v>
      </c>
      <c r="K4" s="18">
        <f>$B$2*$E$4^(D4-1)</f>
        <v>1.6127406076028208E-2</v>
      </c>
      <c r="L4" s="13">
        <f>0.5*K4</f>
        <v>8.0637030380141042E-3</v>
      </c>
      <c r="M4" s="13">
        <f>EXP(-$B$4*J4)</f>
        <v>0.97530991202833262</v>
      </c>
      <c r="N4" s="14">
        <f>L4*M4</f>
        <v>7.8646095006281343E-3</v>
      </c>
    </row>
    <row r="5" spans="1:14" x14ac:dyDescent="0.25">
      <c r="D5" s="10">
        <v>2</v>
      </c>
      <c r="E5" s="13">
        <f>$E$4^D5</f>
        <v>0.96800528107468464</v>
      </c>
      <c r="F5" s="13">
        <f t="shared" ref="F5:F8" si="0">E5</f>
        <v>0.96800528107468464</v>
      </c>
      <c r="G5" s="13">
        <f t="shared" ref="G5:G8" si="1">EXP(-$B$4*D5)</f>
        <v>0.90483741803595952</v>
      </c>
      <c r="H5" s="14">
        <f t="shared" ref="H5:H8" si="2">F5*G5</f>
        <v>0.8758873991727909</v>
      </c>
      <c r="J5" s="10">
        <v>1.5</v>
      </c>
      <c r="K5" s="18">
        <f t="shared" ref="K5:K8" si="3">$B$2*$E$4^(D5-1)</f>
        <v>1.5867312849287097E-2</v>
      </c>
      <c r="L5" s="13">
        <f t="shared" ref="L5:L8" si="4">0.5*K5</f>
        <v>7.9336564246435485E-3</v>
      </c>
      <c r="M5" s="13">
        <f t="shared" ref="M5:M8" si="5">EXP(-$B$4*J5)</f>
        <v>0.92774348632855286</v>
      </c>
      <c r="N5" s="14">
        <f t="shared" ref="N5:N8" si="6">L5*M5</f>
        <v>7.3603980707317275E-3</v>
      </c>
    </row>
    <row r="6" spans="1:14" x14ac:dyDescent="0.25">
      <c r="D6" s="10">
        <v>3</v>
      </c>
      <c r="E6" s="13">
        <f t="shared" ref="E6:E8" si="7">$E$4^D6</f>
        <v>0.95239386682305338</v>
      </c>
      <c r="F6" s="13">
        <f t="shared" si="0"/>
        <v>0.95239386682305338</v>
      </c>
      <c r="G6" s="13">
        <f t="shared" si="1"/>
        <v>0.86070797642505781</v>
      </c>
      <c r="H6" s="14">
        <f t="shared" si="2"/>
        <v>0.81973299787290632</v>
      </c>
      <c r="J6" s="10">
        <v>2.5</v>
      </c>
      <c r="K6" s="18">
        <f t="shared" si="3"/>
        <v>1.5611414251631263E-2</v>
      </c>
      <c r="L6" s="13">
        <f t="shared" si="4"/>
        <v>7.8057071258156316E-3</v>
      </c>
      <c r="M6" s="13">
        <f t="shared" si="5"/>
        <v>0.88249690258459546</v>
      </c>
      <c r="N6" s="14">
        <f t="shared" si="6"/>
        <v>6.8885123610147999E-3</v>
      </c>
    </row>
    <row r="7" spans="1:14" x14ac:dyDescent="0.25">
      <c r="D7" s="10">
        <v>4</v>
      </c>
      <c r="E7" s="13">
        <f t="shared" si="7"/>
        <v>0.93703422418847926</v>
      </c>
      <c r="F7" s="13">
        <f t="shared" si="0"/>
        <v>0.93703422418847926</v>
      </c>
      <c r="G7" s="13">
        <f t="shared" si="1"/>
        <v>0.81873075307798182</v>
      </c>
      <c r="H7" s="14">
        <f t="shared" si="2"/>
        <v>0.76717873602967612</v>
      </c>
      <c r="J7" s="10">
        <v>3.5</v>
      </c>
      <c r="K7" s="18">
        <f t="shared" si="3"/>
        <v>1.5359642634574112E-2</v>
      </c>
      <c r="L7" s="13">
        <f t="shared" si="4"/>
        <v>7.6798213172870559E-3</v>
      </c>
      <c r="M7" s="13">
        <f t="shared" si="5"/>
        <v>0.83945702076920736</v>
      </c>
      <c r="N7" s="14">
        <f t="shared" si="6"/>
        <v>6.4468799230496419E-3</v>
      </c>
    </row>
    <row r="8" spans="1:14" x14ac:dyDescent="0.25">
      <c r="D8" s="10">
        <v>5</v>
      </c>
      <c r="E8" s="13">
        <f t="shared" si="7"/>
        <v>0.92192229274785553</v>
      </c>
      <c r="F8" s="13">
        <f t="shared" si="0"/>
        <v>0.92192229274785553</v>
      </c>
      <c r="G8" s="13">
        <f t="shared" si="1"/>
        <v>0.77880078307140488</v>
      </c>
      <c r="H8" s="14">
        <f t="shared" si="2"/>
        <v>0.7179938035230149</v>
      </c>
      <c r="J8" s="10">
        <v>4.5</v>
      </c>
      <c r="K8" s="18">
        <f t="shared" si="3"/>
        <v>1.5111931440623659E-2</v>
      </c>
      <c r="L8" s="13">
        <f t="shared" si="4"/>
        <v>7.5559657203118297E-3</v>
      </c>
      <c r="M8" s="13">
        <f t="shared" si="5"/>
        <v>0.79851621875937706</v>
      </c>
      <c r="N8" s="14">
        <f t="shared" si="6"/>
        <v>6.0335611760588747E-3</v>
      </c>
    </row>
    <row r="9" spans="1:14" ht="14.4" thickBot="1" x14ac:dyDescent="0.3">
      <c r="D9" s="15"/>
      <c r="E9" s="16"/>
      <c r="F9" s="16"/>
      <c r="G9" s="16"/>
      <c r="H9" s="17">
        <f>SUM(H4:H8)</f>
        <v>4.1166814978987123</v>
      </c>
      <c r="J9" s="15"/>
      <c r="K9" s="16"/>
      <c r="L9" s="16"/>
      <c r="M9" s="16"/>
      <c r="N9" s="19">
        <f>SUM(N4:N8)</f>
        <v>3.4593961031483177E-2</v>
      </c>
    </row>
    <row r="10" spans="1:14" ht="14.4" thickBot="1" x14ac:dyDescent="0.3"/>
    <row r="11" spans="1:14" ht="14.4" thickBot="1" x14ac:dyDescent="0.3">
      <c r="D11" s="32" t="s">
        <v>11</v>
      </c>
      <c r="E11" s="33"/>
      <c r="F11" s="33"/>
      <c r="G11" s="33"/>
      <c r="H11" s="34"/>
    </row>
    <row r="12" spans="1:14" x14ac:dyDescent="0.25">
      <c r="D12" s="10" t="s">
        <v>4</v>
      </c>
      <c r="E12" s="11" t="s">
        <v>10</v>
      </c>
      <c r="F12" s="11" t="s">
        <v>6</v>
      </c>
      <c r="G12" s="11" t="s">
        <v>7</v>
      </c>
      <c r="H12" s="12" t="s">
        <v>8</v>
      </c>
      <c r="K12" t="s">
        <v>12</v>
      </c>
      <c r="L12" s="1">
        <f>H18/(H9+N9)</f>
        <v>9.9999996744320734E-3</v>
      </c>
    </row>
    <row r="13" spans="1:14" x14ac:dyDescent="0.25">
      <c r="D13" s="10">
        <v>0.5</v>
      </c>
      <c r="E13" s="18">
        <f>$B$2*(1-$B$2)^(D4-1)</f>
        <v>1.6127406076028208E-2</v>
      </c>
      <c r="F13" s="13">
        <f>E13*(1-$B$3)</f>
        <v>9.6764436456169244E-3</v>
      </c>
      <c r="G13" s="13">
        <f>EXP(-$B$4*D13)</f>
        <v>0.97530991202833262</v>
      </c>
      <c r="H13" s="14">
        <f>F13*G13</f>
        <v>9.4375314007537608E-3</v>
      </c>
      <c r="K13" t="s">
        <v>15</v>
      </c>
      <c r="L13">
        <f>L12*10000</f>
        <v>99.99999674432074</v>
      </c>
    </row>
    <row r="14" spans="1:14" x14ac:dyDescent="0.25">
      <c r="D14" s="10">
        <v>1.5</v>
      </c>
      <c r="E14" s="18">
        <f t="shared" ref="E14:E17" si="8">$B$2*(1-$B$2)^(D5-1)</f>
        <v>1.5867312849287097E-2</v>
      </c>
      <c r="F14" s="13">
        <f t="shared" ref="F14:F17" si="9">E14*(1-$B$3)</f>
        <v>9.5203877095722585E-3</v>
      </c>
      <c r="G14" s="13">
        <f t="shared" ref="G14:G17" si="10">EXP(-$B$4*D14)</f>
        <v>0.92774348632855286</v>
      </c>
      <c r="H14" s="14">
        <f t="shared" ref="H14:H17" si="11">F14*G14</f>
        <v>8.8324776848780727E-3</v>
      </c>
    </row>
    <row r="15" spans="1:14" x14ac:dyDescent="0.25">
      <c r="D15" s="10">
        <v>2.5</v>
      </c>
      <c r="E15" s="18">
        <f t="shared" si="8"/>
        <v>1.5611414251631263E-2</v>
      </c>
      <c r="F15" s="13">
        <f t="shared" si="9"/>
        <v>9.3668485509787579E-3</v>
      </c>
      <c r="G15" s="13">
        <f t="shared" si="10"/>
        <v>0.88249690258459546</v>
      </c>
      <c r="H15" s="14">
        <f t="shared" si="11"/>
        <v>8.2662148332177596E-3</v>
      </c>
      <c r="K15" t="s">
        <v>14</v>
      </c>
      <c r="L15">
        <f>1/(1-B3)</f>
        <v>1.6666666666666667</v>
      </c>
    </row>
    <row r="16" spans="1:14" x14ac:dyDescent="0.25">
      <c r="D16" s="10">
        <v>3.5</v>
      </c>
      <c r="E16" s="18">
        <f t="shared" si="8"/>
        <v>1.5359642634574112E-2</v>
      </c>
      <c r="F16" s="13">
        <f t="shared" si="9"/>
        <v>9.215785580744467E-3</v>
      </c>
      <c r="G16" s="13">
        <f t="shared" si="10"/>
        <v>0.83945702076920736</v>
      </c>
      <c r="H16" s="14">
        <f t="shared" si="11"/>
        <v>7.7362559076595699E-3</v>
      </c>
    </row>
    <row r="17" spans="4:8" x14ac:dyDescent="0.25">
      <c r="D17" s="10">
        <v>4.5</v>
      </c>
      <c r="E17" s="18">
        <f t="shared" si="8"/>
        <v>1.5111931440623659E-2</v>
      </c>
      <c r="F17" s="13">
        <f t="shared" si="9"/>
        <v>9.067158864374196E-3</v>
      </c>
      <c r="G17" s="13">
        <f t="shared" si="10"/>
        <v>0.79851621875937706</v>
      </c>
      <c r="H17" s="14">
        <f t="shared" si="11"/>
        <v>7.2402734112706505E-3</v>
      </c>
    </row>
    <row r="18" spans="4:8" ht="14.4" thickBot="1" x14ac:dyDescent="0.3">
      <c r="D18" s="15"/>
      <c r="E18" s="16"/>
      <c r="F18" s="16"/>
      <c r="G18" s="16"/>
      <c r="H18" s="20">
        <f>SUM(H13:H17)</f>
        <v>4.1512753237779809E-2</v>
      </c>
    </row>
  </sheetData>
  <mergeCells count="3">
    <mergeCell ref="J2:N2"/>
    <mergeCell ref="D11:H11"/>
    <mergeCell ref="D2:H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N17"/>
  <sheetViews>
    <sheetView workbookViewId="0">
      <selection activeCell="K10" sqref="K10"/>
    </sheetView>
  </sheetViews>
  <sheetFormatPr defaultColWidth="8.77734375" defaultRowHeight="13.8" x14ac:dyDescent="0.25"/>
  <cols>
    <col min="1" max="1" width="28.109375" customWidth="1"/>
    <col min="4" max="4" width="13.109375" customWidth="1"/>
    <col min="5" max="5" width="15.109375" customWidth="1"/>
    <col min="11" max="11" width="17" customWidth="1"/>
    <col min="12" max="12" width="9.33203125" bestFit="1" customWidth="1"/>
    <col min="13" max="13" width="10.44140625" customWidth="1"/>
  </cols>
  <sheetData>
    <row r="2" spans="1:14" x14ac:dyDescent="0.25">
      <c r="A2" s="4" t="s">
        <v>16</v>
      </c>
      <c r="B2" s="4">
        <v>0.01</v>
      </c>
      <c r="D2" s="35" t="s">
        <v>3</v>
      </c>
      <c r="E2" s="35"/>
      <c r="F2" s="35"/>
      <c r="G2" s="35"/>
      <c r="H2" s="35"/>
      <c r="J2" s="35" t="s">
        <v>9</v>
      </c>
      <c r="K2" s="35"/>
      <c r="L2" s="35"/>
      <c r="M2" s="35"/>
      <c r="N2" s="35"/>
    </row>
    <row r="3" spans="1:14" x14ac:dyDescent="0.25">
      <c r="A3" s="4" t="s">
        <v>16</v>
      </c>
      <c r="B3" s="4">
        <v>1.4999999999999999E-2</v>
      </c>
      <c r="D3" t="s">
        <v>4</v>
      </c>
      <c r="E3" t="s">
        <v>17</v>
      </c>
      <c r="F3" t="s">
        <v>6</v>
      </c>
      <c r="G3" t="s">
        <v>7</v>
      </c>
      <c r="H3" t="s">
        <v>8</v>
      </c>
      <c r="J3" t="s">
        <v>4</v>
      </c>
      <c r="K3" t="s">
        <v>18</v>
      </c>
      <c r="L3" t="s">
        <v>6</v>
      </c>
      <c r="M3" t="s">
        <v>7</v>
      </c>
      <c r="N3" t="s">
        <v>8</v>
      </c>
    </row>
    <row r="4" spans="1:14" x14ac:dyDescent="0.25">
      <c r="A4" s="4" t="s">
        <v>1</v>
      </c>
      <c r="B4" s="4">
        <v>0.2</v>
      </c>
      <c r="D4">
        <v>0.5</v>
      </c>
      <c r="E4" s="1">
        <f>1-$B$2</f>
        <v>0.99</v>
      </c>
      <c r="F4" s="1">
        <f>E4*$D$4</f>
        <v>0.495</v>
      </c>
      <c r="G4" s="1">
        <f>EXP(-$B$5*D4)</f>
        <v>0.97044553354850815</v>
      </c>
      <c r="H4" s="1">
        <f>F4*G4</f>
        <v>0.48037053910651151</v>
      </c>
      <c r="J4">
        <v>0.25</v>
      </c>
      <c r="K4">
        <f>$B$2</f>
        <v>0.01</v>
      </c>
      <c r="L4">
        <f>$J$4*K4</f>
        <v>2.5000000000000001E-3</v>
      </c>
      <c r="M4" s="1">
        <f>EXP(-$B$5*J4)</f>
        <v>0.98511193960306265</v>
      </c>
      <c r="N4" s="1">
        <f>L4*M4</f>
        <v>2.4627798490076567E-3</v>
      </c>
    </row>
    <row r="5" spans="1:14" x14ac:dyDescent="0.25">
      <c r="A5" s="4" t="s">
        <v>2</v>
      </c>
      <c r="B5" s="4">
        <v>0.06</v>
      </c>
      <c r="D5">
        <v>1</v>
      </c>
      <c r="E5" s="1">
        <f>E4*(1-$B$2)</f>
        <v>0.98009999999999997</v>
      </c>
      <c r="F5" s="1">
        <f t="shared" ref="F5:F7" si="0">E5*$D$4</f>
        <v>0.49004999999999999</v>
      </c>
      <c r="G5" s="1">
        <f>EXP(-$B$5*D5)</f>
        <v>0.94176453358424872</v>
      </c>
      <c r="H5" s="1">
        <f t="shared" ref="H5:H7" si="1">F5*G5</f>
        <v>0.46151170968296107</v>
      </c>
      <c r="J5">
        <v>0.75</v>
      </c>
      <c r="K5">
        <f>$B$2</f>
        <v>0.01</v>
      </c>
      <c r="L5">
        <f t="shared" ref="L5:L7" si="2">$J$4*K5</f>
        <v>2.5000000000000001E-3</v>
      </c>
      <c r="M5" s="1">
        <f t="shared" ref="M5:M7" si="3">EXP(-$B$5*J5)</f>
        <v>0.95599748183309996</v>
      </c>
      <c r="N5" s="1">
        <f t="shared" ref="N5:N7" si="4">L5*M5</f>
        <v>2.3899937045827498E-3</v>
      </c>
    </row>
    <row r="6" spans="1:14" x14ac:dyDescent="0.25">
      <c r="D6">
        <v>1.5</v>
      </c>
      <c r="E6" s="1">
        <f>E5*(1-$B$3)</f>
        <v>0.96539849999999994</v>
      </c>
      <c r="F6" s="1">
        <f t="shared" si="0"/>
        <v>0.48269924999999997</v>
      </c>
      <c r="G6" s="1">
        <f>EXP(-$B$5*D6)</f>
        <v>0.91393118527122819</v>
      </c>
      <c r="H6" s="1">
        <f t="shared" si="1"/>
        <v>0.44115389768203284</v>
      </c>
      <c r="J6">
        <v>1.25</v>
      </c>
      <c r="K6">
        <f>$B$3</f>
        <v>1.4999999999999999E-2</v>
      </c>
      <c r="L6">
        <f t="shared" si="2"/>
        <v>3.7499999999999999E-3</v>
      </c>
      <c r="M6" s="1">
        <f t="shared" si="3"/>
        <v>0.92774348632855286</v>
      </c>
      <c r="N6" s="1">
        <f t="shared" si="4"/>
        <v>3.4790380737320732E-3</v>
      </c>
    </row>
    <row r="7" spans="1:14" x14ac:dyDescent="0.25">
      <c r="D7">
        <v>2</v>
      </c>
      <c r="E7" s="1">
        <f>E6*(1-$B$3)</f>
        <v>0.95091752249999995</v>
      </c>
      <c r="F7" s="1">
        <f t="shared" si="0"/>
        <v>0.47545876124999997</v>
      </c>
      <c r="G7" s="1">
        <f>EXP(-$B$5*D7)</f>
        <v>0.88692043671715748</v>
      </c>
      <c r="H7" s="1">
        <f t="shared" si="1"/>
        <v>0.42169409216884868</v>
      </c>
      <c r="J7">
        <v>1.75</v>
      </c>
      <c r="K7">
        <f>$B$3</f>
        <v>1.4999999999999999E-2</v>
      </c>
      <c r="L7">
        <f t="shared" si="2"/>
        <v>3.7499999999999999E-3</v>
      </c>
      <c r="M7" s="1">
        <f t="shared" si="3"/>
        <v>0.90032452258626561</v>
      </c>
      <c r="N7" s="1">
        <f t="shared" si="4"/>
        <v>3.376216959698496E-3</v>
      </c>
    </row>
    <row r="8" spans="1:14" x14ac:dyDescent="0.25">
      <c r="H8" s="5">
        <f>SUM(H4:H7)</f>
        <v>1.8047302386403539</v>
      </c>
      <c r="N8" s="3">
        <f>SUM(N4:N7)</f>
        <v>1.1708028587020976E-2</v>
      </c>
    </row>
    <row r="11" spans="1:14" x14ac:dyDescent="0.25">
      <c r="D11" s="35" t="s">
        <v>11</v>
      </c>
      <c r="E11" s="35"/>
      <c r="F11" s="35"/>
      <c r="G11" s="35"/>
      <c r="H11" s="35"/>
    </row>
    <row r="12" spans="1:14" x14ac:dyDescent="0.25">
      <c r="D12" t="s">
        <v>4</v>
      </c>
      <c r="E12" t="s">
        <v>18</v>
      </c>
      <c r="F12" t="s">
        <v>6</v>
      </c>
      <c r="G12" t="s">
        <v>7</v>
      </c>
      <c r="H12" t="s">
        <v>8</v>
      </c>
      <c r="K12" s="6" t="s">
        <v>12</v>
      </c>
      <c r="L12" s="7">
        <f>$H$17/($H$8+$N$8)</f>
        <v>2.0625909591551955E-2</v>
      </c>
    </row>
    <row r="13" spans="1:14" x14ac:dyDescent="0.25">
      <c r="D13">
        <v>0.25</v>
      </c>
      <c r="E13">
        <f>$B$2</f>
        <v>0.01</v>
      </c>
      <c r="F13">
        <f>K4*(1-$B$4)</f>
        <v>8.0000000000000002E-3</v>
      </c>
      <c r="G13" s="1">
        <f>EXP(-$B$5*D13)</f>
        <v>0.98511193960306265</v>
      </c>
      <c r="H13">
        <f>F13*G13</f>
        <v>7.8808955168245022E-3</v>
      </c>
      <c r="K13" s="6" t="s">
        <v>13</v>
      </c>
      <c r="L13" s="7">
        <f>L12*10000</f>
        <v>206.25909591551954</v>
      </c>
    </row>
    <row r="14" spans="1:14" x14ac:dyDescent="0.25">
      <c r="D14">
        <v>0.75</v>
      </c>
      <c r="E14">
        <f>$B$2</f>
        <v>0.01</v>
      </c>
      <c r="F14">
        <f>K5*(1-$B$4)</f>
        <v>8.0000000000000002E-3</v>
      </c>
      <c r="G14" s="1">
        <f t="shared" ref="G14:G16" si="5">EXP(-$B$5*D14)</f>
        <v>0.95599748183309996</v>
      </c>
      <c r="H14">
        <f t="shared" ref="H14:H16" si="6">F14*G14</f>
        <v>7.6479798546647999E-3</v>
      </c>
    </row>
    <row r="15" spans="1:14" x14ac:dyDescent="0.25">
      <c r="D15">
        <v>1.25</v>
      </c>
      <c r="E15">
        <f>$B$3</f>
        <v>1.4999999999999999E-2</v>
      </c>
      <c r="F15">
        <f>K6*(1-$B$4)</f>
        <v>1.2E-2</v>
      </c>
      <c r="G15" s="1">
        <f t="shared" si="5"/>
        <v>0.92774348632855286</v>
      </c>
      <c r="H15">
        <f t="shared" si="6"/>
        <v>1.1132921835942635E-2</v>
      </c>
    </row>
    <row r="16" spans="1:14" x14ac:dyDescent="0.25">
      <c r="D16">
        <v>1.75</v>
      </c>
      <c r="E16">
        <f>$B$3</f>
        <v>1.4999999999999999E-2</v>
      </c>
      <c r="F16">
        <f>K7*(1-$B$4)</f>
        <v>1.2E-2</v>
      </c>
      <c r="G16" s="1">
        <f t="shared" si="5"/>
        <v>0.90032452258626561</v>
      </c>
      <c r="H16">
        <f t="shared" si="6"/>
        <v>1.0803894271035187E-2</v>
      </c>
    </row>
    <row r="17" spans="8:8" x14ac:dyDescent="0.25">
      <c r="H17" s="2">
        <f>SUM(H13:H16)</f>
        <v>3.7465691478467122E-2</v>
      </c>
    </row>
  </sheetData>
  <mergeCells count="3">
    <mergeCell ref="D2:H2"/>
    <mergeCell ref="J2:N2"/>
    <mergeCell ref="D11:H11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C43"/>
  <sheetViews>
    <sheetView tabSelected="1" zoomScale="125" zoomScaleNormal="125" workbookViewId="0">
      <selection activeCell="L5" sqref="L5"/>
    </sheetView>
  </sheetViews>
  <sheetFormatPr defaultColWidth="8.77734375" defaultRowHeight="13.8" x14ac:dyDescent="0.25"/>
  <cols>
    <col min="1" max="1" width="16.33203125" customWidth="1"/>
    <col min="2" max="3" width="18.33203125" customWidth="1"/>
    <col min="6" max="6" width="12.6640625" customWidth="1"/>
    <col min="8" max="9" width="12.33203125" customWidth="1"/>
    <col min="10" max="13" width="13" customWidth="1"/>
    <col min="14" max="14" width="12" customWidth="1"/>
    <col min="15" max="15" width="13.77734375" customWidth="1"/>
    <col min="16" max="17" width="12.109375" customWidth="1"/>
    <col min="18" max="18" width="15.6640625" customWidth="1"/>
    <col min="19" max="19" width="13.6640625" customWidth="1"/>
    <col min="20" max="20" width="11.77734375" customWidth="1"/>
    <col min="21" max="21" width="11.44140625" customWidth="1"/>
    <col min="22" max="22" width="15" customWidth="1"/>
    <col min="26" max="26" width="11.109375" customWidth="1"/>
    <col min="28" max="28" width="11.33203125" customWidth="1"/>
    <col min="29" max="29" width="9.77734375" bestFit="1" customWidth="1"/>
  </cols>
  <sheetData>
    <row r="1" spans="1:29" x14ac:dyDescent="0.25">
      <c r="E1" s="36" t="s">
        <v>21</v>
      </c>
      <c r="F1" s="36"/>
      <c r="G1" s="36"/>
      <c r="H1" s="9"/>
      <c r="I1" s="9"/>
      <c r="J1" s="9"/>
      <c r="K1" s="9"/>
      <c r="L1" s="9"/>
      <c r="M1" s="9"/>
    </row>
    <row r="2" spans="1:29" x14ac:dyDescent="0.25">
      <c r="A2" s="4" t="s">
        <v>42</v>
      </c>
      <c r="B2" s="4">
        <v>0.01</v>
      </c>
      <c r="E2" t="s">
        <v>19</v>
      </c>
      <c r="F2" t="s">
        <v>41</v>
      </c>
      <c r="G2" t="s">
        <v>54</v>
      </c>
      <c r="H2" t="s">
        <v>53</v>
      </c>
      <c r="X2" s="40" t="s">
        <v>60</v>
      </c>
      <c r="Y2" s="40"/>
      <c r="Z2" s="40"/>
      <c r="AA2" s="40"/>
      <c r="AB2" s="40"/>
      <c r="AC2" s="40"/>
    </row>
    <row r="3" spans="1:29" x14ac:dyDescent="0.25">
      <c r="A3" s="4" t="s">
        <v>43</v>
      </c>
      <c r="B3" s="4">
        <v>0.4</v>
      </c>
      <c r="E3" t="s">
        <v>23</v>
      </c>
      <c r="F3" s="8">
        <v>8.3333333333333329E-2</v>
      </c>
      <c r="G3">
        <v>0.995</v>
      </c>
      <c r="H3">
        <f>G3/100</f>
        <v>9.9500000000000005E-3</v>
      </c>
      <c r="J3" s="22" t="s">
        <v>46</v>
      </c>
      <c r="K3" s="22" t="s">
        <v>55</v>
      </c>
      <c r="L3" s="22" t="s">
        <v>45</v>
      </c>
      <c r="M3" s="22" t="s">
        <v>45</v>
      </c>
      <c r="N3" s="22" t="s">
        <v>49</v>
      </c>
      <c r="O3" s="22" t="s">
        <v>59</v>
      </c>
      <c r="P3" s="22" t="s">
        <v>51</v>
      </c>
      <c r="Q3" s="22" t="s">
        <v>56</v>
      </c>
      <c r="R3" s="22" t="s">
        <v>52</v>
      </c>
      <c r="S3" s="22" t="s">
        <v>47</v>
      </c>
      <c r="T3" s="22" t="s">
        <v>48</v>
      </c>
      <c r="U3" s="22" t="s">
        <v>57</v>
      </c>
      <c r="V3" s="22" t="s">
        <v>58</v>
      </c>
      <c r="X3" s="22" t="s">
        <v>46</v>
      </c>
      <c r="Y3" s="22" t="s">
        <v>45</v>
      </c>
      <c r="Z3" s="22" t="s">
        <v>51</v>
      </c>
      <c r="AA3" s="22" t="s">
        <v>56</v>
      </c>
      <c r="AB3" s="22" t="s">
        <v>47</v>
      </c>
      <c r="AC3" s="22" t="s">
        <v>57</v>
      </c>
    </row>
    <row r="4" spans="1:29" x14ac:dyDescent="0.25">
      <c r="A4" s="4" t="s">
        <v>44</v>
      </c>
      <c r="B4" s="4">
        <v>0.25</v>
      </c>
      <c r="E4" t="s">
        <v>24</v>
      </c>
      <c r="F4" s="8">
        <v>0.16666666666666666</v>
      </c>
      <c r="G4">
        <v>1.0371999999999999</v>
      </c>
      <c r="H4">
        <f t="shared" ref="H4:H21" si="0">G4/100</f>
        <v>1.0371999999999999E-2</v>
      </c>
      <c r="M4">
        <f>$L$5</f>
        <v>3.3666668194330274E-3</v>
      </c>
      <c r="N4">
        <f>$B$4</f>
        <v>0.25</v>
      </c>
      <c r="O4">
        <f>M4*N4</f>
        <v>8.4166670485825686E-4</v>
      </c>
      <c r="P4">
        <f>EXP(-O4)</f>
        <v>0.99915868739721048</v>
      </c>
      <c r="Q4">
        <f>EXP(-$H$5*N4)</f>
        <v>0.99708027072445315</v>
      </c>
      <c r="R4">
        <f>$B$4*Q4*(1+P4)/2</f>
        <v>0.24916521065639413</v>
      </c>
      <c r="T4">
        <f>(1-$B$3)*Q4*(1-P4)</f>
        <v>5.0331371865196337E-4</v>
      </c>
      <c r="X4" s="21">
        <f>J5</f>
        <v>0.5</v>
      </c>
      <c r="Y4" s="25">
        <f>L5</f>
        <v>3.3666668194330274E-3</v>
      </c>
      <c r="Z4" s="25">
        <f>P5</f>
        <v>0.9983180826013166</v>
      </c>
      <c r="AA4" s="25">
        <f>Q5</f>
        <v>0.99287351468874641</v>
      </c>
      <c r="AB4" s="24">
        <f>S5</f>
        <v>1.0040822752631507E-3</v>
      </c>
      <c r="AC4" s="24">
        <f>U5</f>
        <v>1.0040822615499832E-3</v>
      </c>
    </row>
    <row r="5" spans="1:29" x14ac:dyDescent="0.25">
      <c r="E5" t="s">
        <v>25</v>
      </c>
      <c r="F5" s="8">
        <v>0.25</v>
      </c>
      <c r="G5">
        <v>1.1696</v>
      </c>
      <c r="H5">
        <f t="shared" si="0"/>
        <v>1.1696E-2</v>
      </c>
      <c r="J5" s="21">
        <f>A9</f>
        <v>0.5</v>
      </c>
      <c r="K5" s="21">
        <f>C9</f>
        <v>2.0200000000000001E-3</v>
      </c>
      <c r="L5" s="21">
        <v>3.3666668194330274E-3</v>
      </c>
      <c r="M5" s="21">
        <f>$L$5</f>
        <v>3.3666668194330274E-3</v>
      </c>
      <c r="N5" s="21">
        <f>N4+$B$4</f>
        <v>0.5</v>
      </c>
      <c r="O5" s="21">
        <f>M5*N5</f>
        <v>1.6833334097165137E-3</v>
      </c>
      <c r="P5" s="21">
        <f t="shared" ref="P5:P43" si="1">EXP(-O5)</f>
        <v>0.9983180826013166</v>
      </c>
      <c r="Q5" s="21">
        <f>EXP(-$H$6*N5)</f>
        <v>0.99287351468874641</v>
      </c>
      <c r="R5" s="21">
        <f>$B$4*Q5*(P4+P5)/2</f>
        <v>0.24790522264219528</v>
      </c>
      <c r="S5" s="21">
        <f>SUM(R4:R5)*K5</f>
        <v>1.0040822752631507E-3</v>
      </c>
      <c r="T5" s="21">
        <f>(1-$B$3)*Q5*(P4-P5)</f>
        <v>5.0076854289801979E-4</v>
      </c>
      <c r="U5" s="21">
        <f>SUM(T4:T5)</f>
        <v>1.0040822615499832E-3</v>
      </c>
      <c r="V5" s="21">
        <f>S5-U5</f>
        <v>1.3713167537274251E-11</v>
      </c>
      <c r="X5" s="21">
        <f>J7</f>
        <v>1</v>
      </c>
      <c r="Y5" s="25">
        <f>L7</f>
        <v>6.2820519701294536E-3</v>
      </c>
      <c r="Z5" s="25">
        <f>P7</f>
        <v>0.9951872591355061</v>
      </c>
      <c r="AA5" s="25">
        <f>Q7</f>
        <v>0.98448659209026301</v>
      </c>
      <c r="AB5" s="24">
        <f>S7</f>
        <v>2.8579864674311566E-3</v>
      </c>
      <c r="AC5" s="24">
        <f>U7</f>
        <v>2.8579866043069672E-3</v>
      </c>
    </row>
    <row r="6" spans="1:29" ht="14.4" thickBot="1" x14ac:dyDescent="0.3">
      <c r="E6" t="s">
        <v>22</v>
      </c>
      <c r="F6" s="8">
        <v>0.5</v>
      </c>
      <c r="G6">
        <v>1.4303999999999999</v>
      </c>
      <c r="H6">
        <f t="shared" si="0"/>
        <v>1.4303999999999999E-2</v>
      </c>
      <c r="M6">
        <f>$L$7</f>
        <v>6.2820519701294536E-3</v>
      </c>
      <c r="N6">
        <f t="shared" ref="N6:N43" si="2">N5+$B$4</f>
        <v>0.75</v>
      </c>
      <c r="O6">
        <f>$O$5+M6*(N6-$J$5)</f>
        <v>3.2538464022488769E-3</v>
      </c>
      <c r="P6">
        <f t="shared" si="1"/>
        <v>0.99675144161893137</v>
      </c>
      <c r="Q6">
        <f>EXP(-$H$6*N6)</f>
        <v>0.98932933976183091</v>
      </c>
      <c r="R6">
        <f t="shared" ref="R6:R43" si="3">$B$4*Q6*(P5+P6)/2</f>
        <v>0.24672260189697101</v>
      </c>
      <c r="T6">
        <f t="shared" ref="T6:T43" si="4">(1-$B$3)*Q6*(P5-P6)</f>
        <v>9.2995433324820733E-4</v>
      </c>
      <c r="X6" s="21">
        <f>J11</f>
        <v>2</v>
      </c>
      <c r="Y6" s="25">
        <f>L11</f>
        <v>7.582669245792502E-3</v>
      </c>
      <c r="Z6" s="25">
        <f>P11</f>
        <v>0.98766962121281487</v>
      </c>
      <c r="AA6" s="25">
        <f>Q11</f>
        <v>0.96625258866500585</v>
      </c>
      <c r="AB6" s="24">
        <f>S11</f>
        <v>7.2521642364068136E-3</v>
      </c>
      <c r="AC6" s="24">
        <f>U11</f>
        <v>7.2521660621845093E-3</v>
      </c>
    </row>
    <row r="7" spans="1:29" x14ac:dyDescent="0.25">
      <c r="A7" s="37" t="s">
        <v>20</v>
      </c>
      <c r="B7" s="38"/>
      <c r="C7" s="39"/>
      <c r="E7" t="s">
        <v>26</v>
      </c>
      <c r="F7" s="8">
        <v>1</v>
      </c>
      <c r="G7">
        <v>1.5634999999999999</v>
      </c>
      <c r="H7">
        <f t="shared" si="0"/>
        <v>1.5635E-2</v>
      </c>
      <c r="J7" s="21">
        <f>A10</f>
        <v>1</v>
      </c>
      <c r="K7" s="21">
        <f>C10</f>
        <v>2.8899999999999998E-3</v>
      </c>
      <c r="L7" s="21">
        <v>6.2820519701294536E-3</v>
      </c>
      <c r="M7" s="21">
        <f>$L$7</f>
        <v>6.2820519701294536E-3</v>
      </c>
      <c r="N7" s="21">
        <f t="shared" si="2"/>
        <v>1</v>
      </c>
      <c r="O7" s="21">
        <f>$O$5+M7*($N$7-$N$5)</f>
        <v>4.824359394781241E-3</v>
      </c>
      <c r="P7" s="21">
        <f t="shared" si="1"/>
        <v>0.9951872591355061</v>
      </c>
      <c r="Q7" s="21">
        <f>EXP(-$H$7*N7)</f>
        <v>0.98448659209026301</v>
      </c>
      <c r="R7" s="21">
        <f t="shared" si="3"/>
        <v>0.24512961789480528</v>
      </c>
      <c r="S7" s="21">
        <f>SUM($R$4:R7)*K7</f>
        <v>2.8579864674311566E-3</v>
      </c>
      <c r="T7" s="21">
        <f>(1-$B$3)*Q7*(P6-P7)</f>
        <v>9.2395000950877657E-4</v>
      </c>
      <c r="U7" s="21">
        <f>SUM($T$4:T7)</f>
        <v>2.8579866043069672E-3</v>
      </c>
      <c r="V7" s="21">
        <f>S7-U7</f>
        <v>-1.3687581059892984E-10</v>
      </c>
      <c r="X7" s="21">
        <f>J15</f>
        <v>3</v>
      </c>
      <c r="Y7" s="25">
        <f>L15</f>
        <v>1.2196946698298475E-2</v>
      </c>
      <c r="Z7" s="25">
        <f>P15</f>
        <v>0.97569623529746008</v>
      </c>
      <c r="AA7" s="25">
        <f>Q15</f>
        <v>0.94810028164094362</v>
      </c>
      <c r="AB7" s="24">
        <f>S15</f>
        <v>1.411682039816999E-2</v>
      </c>
      <c r="AC7" s="24">
        <f>U15</f>
        <v>1.4116820539904089E-2</v>
      </c>
    </row>
    <row r="8" spans="1:29" x14ac:dyDescent="0.25">
      <c r="A8" s="26" t="s">
        <v>19</v>
      </c>
      <c r="B8" s="26" t="s">
        <v>13</v>
      </c>
      <c r="C8" s="26" t="s">
        <v>50</v>
      </c>
      <c r="E8" t="s">
        <v>27</v>
      </c>
      <c r="F8" s="8">
        <v>2</v>
      </c>
      <c r="G8">
        <v>1.7164999999999999</v>
      </c>
      <c r="H8">
        <f t="shared" si="0"/>
        <v>1.7165E-2</v>
      </c>
      <c r="M8">
        <f>$L$11</f>
        <v>7.582669245792502E-3</v>
      </c>
      <c r="N8">
        <f t="shared" si="2"/>
        <v>1.25</v>
      </c>
      <c r="O8">
        <f>$O$7+M8*(N8-$J$7)</f>
        <v>6.7200267062293663E-3</v>
      </c>
      <c r="P8">
        <f t="shared" si="1"/>
        <v>0.9933025021800832</v>
      </c>
      <c r="Q8">
        <f t="shared" ref="Q8:Q10" si="5">EXP(-$H$7*N8)</f>
        <v>0.98064599098803795</v>
      </c>
      <c r="R8">
        <f t="shared" si="3"/>
        <v>0.24375056406936163</v>
      </c>
      <c r="T8">
        <f t="shared" si="4"/>
        <v>1.1089676113933691E-3</v>
      </c>
      <c r="X8" s="21">
        <f>J19</f>
        <v>4</v>
      </c>
      <c r="Y8" s="25">
        <f>L19</f>
        <v>1.7915425243184031E-2</v>
      </c>
      <c r="Z8" s="25">
        <f>P19</f>
        <v>0.95837187236843824</v>
      </c>
      <c r="AA8" s="25">
        <f>Q19</f>
        <v>0.92908039929518338</v>
      </c>
      <c r="AB8" s="24">
        <f>S19</f>
        <v>2.3857502206256116E-2</v>
      </c>
      <c r="AC8" s="24">
        <f>U19</f>
        <v>2.3857502522401368E-2</v>
      </c>
    </row>
    <row r="9" spans="1:29" x14ac:dyDescent="0.25">
      <c r="A9" s="27">
        <v>0.5</v>
      </c>
      <c r="B9" s="23">
        <v>20.2</v>
      </c>
      <c r="C9" s="28">
        <f>B9/10000</f>
        <v>2.0200000000000001E-3</v>
      </c>
      <c r="E9" t="s">
        <v>28</v>
      </c>
      <c r="F9" s="8">
        <v>3</v>
      </c>
      <c r="G9">
        <v>1.7765</v>
      </c>
      <c r="H9">
        <f t="shared" si="0"/>
        <v>1.7765E-2</v>
      </c>
      <c r="M9">
        <f t="shared" ref="M9:M11" si="6">$L$11</f>
        <v>7.582669245792502E-3</v>
      </c>
      <c r="N9">
        <f t="shared" si="2"/>
        <v>1.5</v>
      </c>
      <c r="O9">
        <f>$O$7+M9*(N9-$J$7)</f>
        <v>8.6156940176774915E-3</v>
      </c>
      <c r="P9">
        <f t="shared" si="1"/>
        <v>0.99142131471246109</v>
      </c>
      <c r="Q9">
        <f t="shared" si="5"/>
        <v>0.9768203725345812</v>
      </c>
      <c r="R9">
        <f t="shared" si="3"/>
        <v>0.24233983227440389</v>
      </c>
      <c r="T9">
        <f t="shared" si="4"/>
        <v>1.1025493457580114E-3</v>
      </c>
      <c r="X9" s="21">
        <f>J23</f>
        <v>5</v>
      </c>
      <c r="Y9" s="25">
        <f>L23</f>
        <v>2.0392098504049321E-2</v>
      </c>
      <c r="Z9" s="25">
        <f>P23</f>
        <v>0.93902657472185436</v>
      </c>
      <c r="AA9" s="25">
        <f>Q23</f>
        <v>0.90771484233210797</v>
      </c>
      <c r="AB9" s="24">
        <f>S23</f>
        <v>3.4505942877722226E-2</v>
      </c>
      <c r="AC9" s="24">
        <f>U23</f>
        <v>3.4505944939744626E-2</v>
      </c>
    </row>
    <row r="10" spans="1:29" x14ac:dyDescent="0.25">
      <c r="A10" s="27">
        <v>1</v>
      </c>
      <c r="B10" s="23">
        <v>28.9</v>
      </c>
      <c r="C10" s="28">
        <f t="shared" ref="C10:C16" si="7">B10/10000</f>
        <v>2.8899999999999998E-3</v>
      </c>
      <c r="E10" t="s">
        <v>29</v>
      </c>
      <c r="F10" s="8">
        <v>4</v>
      </c>
      <c r="G10">
        <v>1.839</v>
      </c>
      <c r="H10">
        <f t="shared" si="0"/>
        <v>1.839E-2</v>
      </c>
      <c r="M10">
        <f t="shared" si="6"/>
        <v>7.582669245792502E-3</v>
      </c>
      <c r="N10">
        <f t="shared" si="2"/>
        <v>1.75</v>
      </c>
      <c r="O10">
        <f t="shared" ref="O10" si="8">$O$7+M10*(N10-$J$7)</f>
        <v>1.0511361329125618E-2</v>
      </c>
      <c r="P10">
        <f t="shared" si="1"/>
        <v>0.98954368997248798</v>
      </c>
      <c r="Q10">
        <f t="shared" si="5"/>
        <v>0.97300967828077034</v>
      </c>
      <c r="R10">
        <f>$B$4*Q10*(P9+P10)/2</f>
        <v>0.24093726523674588</v>
      </c>
      <c r="T10">
        <f t="shared" si="4"/>
        <v>1.0961682265039476E-3</v>
      </c>
      <c r="X10" s="21">
        <f>J31</f>
        <v>7</v>
      </c>
      <c r="Y10" s="25">
        <f>L31</f>
        <v>2.9120390577318141E-2</v>
      </c>
      <c r="Z10" s="25">
        <f>P31</f>
        <v>0.88589904440092304</v>
      </c>
      <c r="AA10" s="25">
        <f>Q31</f>
        <v>0.86347528818854158</v>
      </c>
      <c r="AB10" s="24">
        <f>S31</f>
        <v>6.2708530011867422E-2</v>
      </c>
      <c r="AC10" s="24">
        <f>U31</f>
        <v>6.2708535823373934E-2</v>
      </c>
    </row>
    <row r="11" spans="1:29" x14ac:dyDescent="0.25">
      <c r="A11" s="27">
        <v>2</v>
      </c>
      <c r="B11" s="23">
        <v>37.1</v>
      </c>
      <c r="C11" s="28">
        <f t="shared" si="7"/>
        <v>3.7100000000000002E-3</v>
      </c>
      <c r="E11" t="s">
        <v>30</v>
      </c>
      <c r="F11" s="8">
        <v>5</v>
      </c>
      <c r="G11">
        <v>1.9365000000000001</v>
      </c>
      <c r="H11">
        <f t="shared" si="0"/>
        <v>1.9365E-2</v>
      </c>
      <c r="J11" s="21">
        <f>A11</f>
        <v>2</v>
      </c>
      <c r="K11" s="21">
        <f>C11</f>
        <v>3.7100000000000002E-3</v>
      </c>
      <c r="L11" s="21">
        <v>7.582669245792502E-3</v>
      </c>
      <c r="M11" s="21">
        <f t="shared" si="6"/>
        <v>7.582669245792502E-3</v>
      </c>
      <c r="N11" s="21">
        <f t="shared" si="2"/>
        <v>2</v>
      </c>
      <c r="O11" s="21">
        <f>$O$7+M11*($N$11-$N$7)</f>
        <v>1.2407028640573744E-2</v>
      </c>
      <c r="P11" s="21">
        <f t="shared" si="1"/>
        <v>0.98766962121281487</v>
      </c>
      <c r="Q11" s="21">
        <f>EXP(-$H$8*N11)</f>
        <v>0.96625258866500585</v>
      </c>
      <c r="R11" s="21">
        <f t="shared" si="3"/>
        <v>0.23881093503446332</v>
      </c>
      <c r="S11" s="21">
        <f>SUM($R$4:R11)*K11</f>
        <v>7.2521642364068136E-3</v>
      </c>
      <c r="T11" s="21">
        <f t="shared" si="4"/>
        <v>1.0864942742222147E-3</v>
      </c>
      <c r="U11" s="21">
        <f>SUM($T$4:T11)</f>
        <v>7.2521660621845093E-3</v>
      </c>
      <c r="V11" s="21">
        <f>S11-U11</f>
        <v>-1.8257776956964733E-9</v>
      </c>
      <c r="X11" s="21">
        <f>J43</f>
        <v>10</v>
      </c>
      <c r="Y11" s="25">
        <f>L43</f>
        <v>2.8489744360575001E-2</v>
      </c>
      <c r="Z11" s="25">
        <f>P43</f>
        <v>0.81332742533442404</v>
      </c>
      <c r="AA11" s="25">
        <f>Q43</f>
        <v>0.79715989438984836</v>
      </c>
      <c r="AB11" s="24">
        <f>S43</f>
        <v>9.8821846606411995E-2</v>
      </c>
      <c r="AC11" s="24">
        <f>U43</f>
        <v>9.8821850094306232E-2</v>
      </c>
    </row>
    <row r="12" spans="1:29" x14ac:dyDescent="0.25">
      <c r="A12" s="27">
        <v>3</v>
      </c>
      <c r="B12" s="23">
        <v>48.8</v>
      </c>
      <c r="C12" s="28">
        <f t="shared" si="7"/>
        <v>4.8799999999999998E-3</v>
      </c>
      <c r="E12" t="s">
        <v>31</v>
      </c>
      <c r="F12" s="8">
        <v>6</v>
      </c>
      <c r="G12">
        <v>2.024</v>
      </c>
      <c r="H12">
        <f t="shared" si="0"/>
        <v>2.0240000000000001E-2</v>
      </c>
      <c r="M12">
        <f>$L$15</f>
        <v>1.2196946698298475E-2</v>
      </c>
      <c r="N12">
        <f t="shared" si="2"/>
        <v>2.25</v>
      </c>
      <c r="O12">
        <f>$O$11+M12*(N12-$N$11)</f>
        <v>1.5456265315148363E-2</v>
      </c>
      <c r="P12">
        <f t="shared" si="1"/>
        <v>0.98466256971722532</v>
      </c>
      <c r="Q12">
        <f t="shared" ref="Q12:Q14" si="9">EXP(-$H$8*N12)</f>
        <v>0.96211504121848679</v>
      </c>
      <c r="R12">
        <f t="shared" si="3"/>
        <v>0.23720130839665049</v>
      </c>
      <c r="T12">
        <f t="shared" si="4"/>
        <v>1.7358776841751528E-3</v>
      </c>
    </row>
    <row r="13" spans="1:29" x14ac:dyDescent="0.25">
      <c r="A13" s="27">
        <v>4</v>
      </c>
      <c r="B13" s="23">
        <v>62.8</v>
      </c>
      <c r="C13" s="28">
        <f t="shared" si="7"/>
        <v>6.28E-3</v>
      </c>
      <c r="E13" t="s">
        <v>32</v>
      </c>
      <c r="F13" s="8">
        <v>7</v>
      </c>
      <c r="G13">
        <v>2.097</v>
      </c>
      <c r="H13">
        <f t="shared" si="0"/>
        <v>2.0969999999999999E-2</v>
      </c>
      <c r="M13">
        <f t="shared" ref="M13:M15" si="10">$L$15</f>
        <v>1.2196946698298475E-2</v>
      </c>
      <c r="N13">
        <f t="shared" si="2"/>
        <v>2.5</v>
      </c>
      <c r="O13">
        <f t="shared" ref="O13:O14" si="11">$O$11+M13*(N13-$N$11)</f>
        <v>1.8505501989722981E-2</v>
      </c>
      <c r="P13">
        <f t="shared" si="1"/>
        <v>0.98166467346798825</v>
      </c>
      <c r="Q13">
        <f t="shared" si="9"/>
        <v>0.957995210980773</v>
      </c>
      <c r="R13">
        <f t="shared" si="3"/>
        <v>0.23546651027405754</v>
      </c>
      <c r="T13">
        <f t="shared" si="4"/>
        <v>1.7231821498718042E-3</v>
      </c>
    </row>
    <row r="14" spans="1:29" x14ac:dyDescent="0.25">
      <c r="A14" s="27">
        <v>5</v>
      </c>
      <c r="B14" s="23">
        <v>73.900000000000006</v>
      </c>
      <c r="C14" s="28">
        <f t="shared" si="7"/>
        <v>7.3900000000000007E-3</v>
      </c>
      <c r="E14" t="s">
        <v>33</v>
      </c>
      <c r="F14" s="8">
        <v>8</v>
      </c>
      <c r="G14">
        <v>2.161</v>
      </c>
      <c r="H14">
        <f t="shared" si="0"/>
        <v>2.1610000000000001E-2</v>
      </c>
      <c r="M14">
        <f t="shared" si="10"/>
        <v>1.2196946698298475E-2</v>
      </c>
      <c r="N14">
        <f t="shared" si="2"/>
        <v>2.75</v>
      </c>
      <c r="O14">
        <f t="shared" si="11"/>
        <v>2.15547386642976E-2</v>
      </c>
      <c r="P14">
        <f t="shared" si="1"/>
        <v>0.97867590459110954</v>
      </c>
      <c r="Q14">
        <f t="shared" si="9"/>
        <v>0.95389302208578908</v>
      </c>
      <c r="R14">
        <f t="shared" si="3"/>
        <v>0.23374439979027445</v>
      </c>
      <c r="T14">
        <f t="shared" si="4"/>
        <v>1.7105794657690701E-3</v>
      </c>
    </row>
    <row r="15" spans="1:29" x14ac:dyDescent="0.25">
      <c r="A15" s="27">
        <v>7</v>
      </c>
      <c r="B15" s="23">
        <v>99.8</v>
      </c>
      <c r="C15" s="28">
        <f t="shared" si="7"/>
        <v>9.9799999999999993E-3</v>
      </c>
      <c r="E15" t="s">
        <v>34</v>
      </c>
      <c r="F15" s="8">
        <v>9</v>
      </c>
      <c r="G15">
        <v>2.2204999999999999</v>
      </c>
      <c r="H15">
        <f t="shared" si="0"/>
        <v>2.2204999999999999E-2</v>
      </c>
      <c r="J15" s="21">
        <f>A12</f>
        <v>3</v>
      </c>
      <c r="K15" s="21">
        <f>C12</f>
        <v>4.8799999999999998E-3</v>
      </c>
      <c r="L15" s="21">
        <v>1.2196946698298475E-2</v>
      </c>
      <c r="M15" s="21">
        <f t="shared" si="10"/>
        <v>1.2196946698298475E-2</v>
      </c>
      <c r="N15" s="21">
        <f t="shared" si="2"/>
        <v>3</v>
      </c>
      <c r="O15" s="21">
        <f>$O$11+M15*($N$15-$N$11)</f>
        <v>2.4603975338872219E-2</v>
      </c>
      <c r="P15" s="21">
        <f t="shared" si="1"/>
        <v>0.97569623529746008</v>
      </c>
      <c r="Q15" s="21">
        <f>EXP(-$H$9*N15)</f>
        <v>0.94810028164094362</v>
      </c>
      <c r="R15" s="21">
        <f t="shared" si="3"/>
        <v>0.2316175970324458</v>
      </c>
      <c r="S15" s="21">
        <f>SUM($R$4:R15)*K15</f>
        <v>1.411682039816999E-2</v>
      </c>
      <c r="T15" s="21">
        <f t="shared" si="4"/>
        <v>1.6950151779035526E-3</v>
      </c>
      <c r="U15" s="21">
        <f>SUM($T$4:T15)</f>
        <v>1.4116820539904089E-2</v>
      </c>
      <c r="V15" s="21">
        <f>S15-U15</f>
        <v>-1.4173409841611306E-10</v>
      </c>
    </row>
    <row r="16" spans="1:29" ht="14.4" thickBot="1" x14ac:dyDescent="0.3">
      <c r="A16" s="29">
        <v>10</v>
      </c>
      <c r="B16" s="30">
        <v>117.7</v>
      </c>
      <c r="C16" s="31">
        <f t="shared" si="7"/>
        <v>1.1770000000000001E-2</v>
      </c>
      <c r="E16" t="s">
        <v>35</v>
      </c>
      <c r="F16" s="8">
        <v>10</v>
      </c>
      <c r="G16">
        <v>2.2669999999999999</v>
      </c>
      <c r="H16">
        <f t="shared" si="0"/>
        <v>2.2669999999999999E-2</v>
      </c>
      <c r="M16">
        <f>$L$19</f>
        <v>1.7915425243184031E-2</v>
      </c>
      <c r="N16">
        <f t="shared" si="2"/>
        <v>3.25</v>
      </c>
      <c r="O16">
        <f>$O$15+M16*(N16-$N$15)</f>
        <v>2.9082831649668225E-2</v>
      </c>
      <c r="P16">
        <f t="shared" si="1"/>
        <v>0.97133600377073026</v>
      </c>
      <c r="Q16">
        <f t="shared" ref="Q16:Q18" si="12">EXP(-$H$9*N16)</f>
        <v>0.94389886793538269</v>
      </c>
      <c r="R16">
        <f t="shared" si="3"/>
        <v>0.22972519078626977</v>
      </c>
      <c r="T16">
        <f t="shared" si="4"/>
        <v>2.4693705612098648E-3</v>
      </c>
    </row>
    <row r="17" spans="5:22" x14ac:dyDescent="0.25">
      <c r="E17" t="s">
        <v>36</v>
      </c>
      <c r="F17" s="8">
        <v>12</v>
      </c>
      <c r="G17">
        <v>2.3519999999999999</v>
      </c>
      <c r="H17">
        <f t="shared" si="0"/>
        <v>2.3519999999999999E-2</v>
      </c>
      <c r="M17">
        <f t="shared" ref="M17:M19" si="13">$L$19</f>
        <v>1.7915425243184031E-2</v>
      </c>
      <c r="N17">
        <f t="shared" si="2"/>
        <v>3.5</v>
      </c>
      <c r="O17">
        <f t="shared" ref="O17:O18" si="14">$O$15+M17*(N17-$N$15)</f>
        <v>3.3561687960464236E-2</v>
      </c>
      <c r="P17">
        <f t="shared" si="1"/>
        <v>0.96699525742625181</v>
      </c>
      <c r="Q17">
        <f t="shared" si="12"/>
        <v>0.93971607238390009</v>
      </c>
      <c r="R17">
        <f t="shared" si="3"/>
        <v>0.22768512996886994</v>
      </c>
      <c r="T17">
        <f t="shared" si="4"/>
        <v>2.4474414636288379E-3</v>
      </c>
    </row>
    <row r="18" spans="5:22" x14ac:dyDescent="0.25">
      <c r="E18" t="s">
        <v>37</v>
      </c>
      <c r="F18" s="8">
        <v>15</v>
      </c>
      <c r="G18">
        <v>2.431</v>
      </c>
      <c r="H18">
        <f t="shared" si="0"/>
        <v>2.4310000000000002E-2</v>
      </c>
      <c r="M18">
        <f t="shared" si="13"/>
        <v>1.7915425243184031E-2</v>
      </c>
      <c r="N18">
        <f t="shared" si="2"/>
        <v>3.75</v>
      </c>
      <c r="O18">
        <f t="shared" si="14"/>
        <v>3.8040544271260246E-2</v>
      </c>
      <c r="P18">
        <f t="shared" si="1"/>
        <v>0.96267390918783957</v>
      </c>
      <c r="Q18">
        <f t="shared" si="12"/>
        <v>0.93555181248196628</v>
      </c>
      <c r="R18">
        <f t="shared" si="3"/>
        <v>0.22566318578954733</v>
      </c>
      <c r="T18">
        <f t="shared" si="4"/>
        <v>2.4257071060873919E-3</v>
      </c>
    </row>
    <row r="19" spans="5:22" x14ac:dyDescent="0.25">
      <c r="E19" t="s">
        <v>38</v>
      </c>
      <c r="F19" s="8">
        <v>20</v>
      </c>
      <c r="G19">
        <v>2.504</v>
      </c>
      <c r="H19">
        <f t="shared" si="0"/>
        <v>2.504E-2</v>
      </c>
      <c r="J19" s="21">
        <f>A13</f>
        <v>4</v>
      </c>
      <c r="K19" s="21">
        <f>C13</f>
        <v>6.28E-3</v>
      </c>
      <c r="L19" s="21">
        <v>1.7915425243184031E-2</v>
      </c>
      <c r="M19" s="21">
        <f t="shared" si="13"/>
        <v>1.7915425243184031E-2</v>
      </c>
      <c r="N19" s="21">
        <f t="shared" si="2"/>
        <v>4</v>
      </c>
      <c r="O19" s="21">
        <f>$O15+M19*($N$19-$N$15)</f>
        <v>4.2519400582056249E-2</v>
      </c>
      <c r="P19" s="21">
        <f t="shared" si="1"/>
        <v>0.95837187236843824</v>
      </c>
      <c r="Q19" s="21">
        <f>EXP(-$H$10*N19)</f>
        <v>0.92908039929518338</v>
      </c>
      <c r="R19" s="21">
        <f t="shared" si="3"/>
        <v>0.22310074772407928</v>
      </c>
      <c r="S19" s="21">
        <f>SUM($R$4:R19)*K19</f>
        <v>2.3857502206256116E-2</v>
      </c>
      <c r="T19" s="21">
        <f t="shared" si="4"/>
        <v>2.3981628515711831E-3</v>
      </c>
      <c r="U19" s="21">
        <f>SUM($T$4:T19)</f>
        <v>2.3857502522401368E-2</v>
      </c>
      <c r="V19" s="21">
        <f>S19-U19</f>
        <v>-3.1614525233814028E-10</v>
      </c>
    </row>
    <row r="20" spans="5:22" x14ac:dyDescent="0.25">
      <c r="E20" t="s">
        <v>39</v>
      </c>
      <c r="F20" s="8">
        <v>25</v>
      </c>
      <c r="G20">
        <v>2.5289999999999999</v>
      </c>
      <c r="H20">
        <f t="shared" si="0"/>
        <v>2.529E-2</v>
      </c>
      <c r="M20">
        <f>$L$23</f>
        <v>2.0392098504049321E-2</v>
      </c>
      <c r="N20">
        <f t="shared" si="2"/>
        <v>4.25</v>
      </c>
      <c r="O20">
        <f>$O$19+M20*(N20-$N$19)</f>
        <v>4.7617425208068581E-2</v>
      </c>
      <c r="P20">
        <f t="shared" si="1"/>
        <v>0.95349850179865958</v>
      </c>
      <c r="Q20">
        <f t="shared" ref="Q20:Q22" si="15">EXP(-$H$10*N20)</f>
        <v>0.92481875611820574</v>
      </c>
      <c r="R20">
        <f t="shared" si="3"/>
        <v>0.22101669766205798</v>
      </c>
      <c r="T20">
        <f t="shared" si="4"/>
        <v>2.704190705067461E-3</v>
      </c>
    </row>
    <row r="21" spans="5:22" x14ac:dyDescent="0.25">
      <c r="E21" t="s">
        <v>40</v>
      </c>
      <c r="F21" s="8">
        <v>30</v>
      </c>
      <c r="G21">
        <v>2.5329999999999999</v>
      </c>
      <c r="H21">
        <f t="shared" si="0"/>
        <v>2.5329999999999998E-2</v>
      </c>
      <c r="M21">
        <f t="shared" ref="M21:M23" si="16">$L$23</f>
        <v>2.0392098504049321E-2</v>
      </c>
      <c r="N21">
        <f t="shared" si="2"/>
        <v>4.5</v>
      </c>
      <c r="O21">
        <f>$O$19+M21*(N21-$N$19)</f>
        <v>5.2715449834080913E-2</v>
      </c>
      <c r="P21">
        <f t="shared" si="1"/>
        <v>0.94864991257044062</v>
      </c>
      <c r="Q21">
        <f t="shared" si="15"/>
        <v>0.9205766608754884</v>
      </c>
      <c r="R21">
        <f t="shared" si="3"/>
        <v>0.21888417947368891</v>
      </c>
      <c r="T21">
        <f t="shared" si="4"/>
        <v>2.6780988490024017E-3</v>
      </c>
    </row>
    <row r="22" spans="5:22" x14ac:dyDescent="0.25">
      <c r="M22">
        <f t="shared" si="16"/>
        <v>2.0392098504049321E-2</v>
      </c>
      <c r="N22">
        <f t="shared" si="2"/>
        <v>4.75</v>
      </c>
      <c r="O22">
        <f t="shared" ref="O22" si="17">$O$19+M22*(N22-$N$19)</f>
        <v>5.7813474460093238E-2</v>
      </c>
      <c r="P22">
        <f t="shared" si="1"/>
        <v>0.94382597866937712</v>
      </c>
      <c r="Q22">
        <f t="shared" si="15"/>
        <v>0.91635402390167964</v>
      </c>
      <c r="R22">
        <f t="shared" si="3"/>
        <v>0.21677223725931555</v>
      </c>
      <c r="T22">
        <f t="shared" si="4"/>
        <v>2.6522587447651617E-3</v>
      </c>
    </row>
    <row r="23" spans="5:22" x14ac:dyDescent="0.25">
      <c r="J23" s="21">
        <f>A14</f>
        <v>5</v>
      </c>
      <c r="K23" s="21">
        <f>C14</f>
        <v>7.3900000000000007E-3</v>
      </c>
      <c r="L23" s="21">
        <v>2.0392098504049321E-2</v>
      </c>
      <c r="M23" s="21">
        <f t="shared" si="16"/>
        <v>2.0392098504049321E-2</v>
      </c>
      <c r="N23" s="21">
        <f t="shared" si="2"/>
        <v>5</v>
      </c>
      <c r="O23" s="21">
        <f>$O19+M23*($N$23-$N$19)</f>
        <v>6.2911499086105577E-2</v>
      </c>
      <c r="P23" s="21">
        <f t="shared" si="1"/>
        <v>0.93902657472185436</v>
      </c>
      <c r="Q23" s="21">
        <f>EXP(-$H$11*N23)</f>
        <v>0.90771484233210797</v>
      </c>
      <c r="R23" s="21">
        <f t="shared" si="3"/>
        <v>0.21363665107951607</v>
      </c>
      <c r="S23" s="21">
        <f>SUM($R$4:R23)*K23</f>
        <v>3.4505942877722226E-2</v>
      </c>
      <c r="T23" s="21">
        <f t="shared" si="4"/>
        <v>2.6138941185082326E-3</v>
      </c>
      <c r="U23" s="21">
        <f>SUM($T$4:T23)</f>
        <v>3.4505944939744626E-2</v>
      </c>
      <c r="V23" s="21">
        <f>S23-U23</f>
        <v>-2.0620224000511556E-9</v>
      </c>
    </row>
    <row r="24" spans="5:22" x14ac:dyDescent="0.25">
      <c r="M24">
        <f>$L$31</f>
        <v>2.9120390577318141E-2</v>
      </c>
      <c r="N24">
        <f t="shared" si="2"/>
        <v>5.25</v>
      </c>
      <c r="O24">
        <f>$O$23+M24*(N24-$N$23)</f>
        <v>7.019159673043511E-2</v>
      </c>
      <c r="P24">
        <f t="shared" si="1"/>
        <v>0.93221519341124892</v>
      </c>
      <c r="Q24">
        <f t="shared" ref="Q24:Q26" si="18">EXP(-$H$11*N24)</f>
        <v>0.90333098808114953</v>
      </c>
      <c r="R24">
        <f t="shared" si="3"/>
        <v>0.21129383441829919</v>
      </c>
      <c r="T24">
        <f t="shared" si="4"/>
        <v>3.6917590857040096E-3</v>
      </c>
    </row>
    <row r="25" spans="5:22" x14ac:dyDescent="0.25">
      <c r="M25">
        <f t="shared" ref="M25:M31" si="19">$L$31</f>
        <v>2.9120390577318141E-2</v>
      </c>
      <c r="N25">
        <f t="shared" si="2"/>
        <v>5.5</v>
      </c>
      <c r="O25">
        <f t="shared" ref="O25:O30" si="20">$O$23+M25*(N25-$N$23)</f>
        <v>7.7471694374764644E-2</v>
      </c>
      <c r="P25">
        <f t="shared" si="1"/>
        <v>0.9254532195579056</v>
      </c>
      <c r="Q25">
        <f t="shared" si="18"/>
        <v>0.89896830587365384</v>
      </c>
      <c r="R25">
        <f t="shared" si="3"/>
        <v>0.20874812826023501</v>
      </c>
      <c r="T25">
        <f t="shared" si="4"/>
        <v>3.6472801075811906E-3</v>
      </c>
    </row>
    <row r="26" spans="5:22" x14ac:dyDescent="0.25">
      <c r="M26">
        <f t="shared" si="19"/>
        <v>2.9120390577318141E-2</v>
      </c>
      <c r="N26">
        <f t="shared" si="2"/>
        <v>5.75</v>
      </c>
      <c r="O26">
        <f t="shared" si="20"/>
        <v>8.4751792019094191E-2</v>
      </c>
      <c r="P26">
        <f t="shared" si="1"/>
        <v>0.91874029477683272</v>
      </c>
      <c r="Q26">
        <f t="shared" si="18"/>
        <v>0.89462669345817758</v>
      </c>
      <c r="R26">
        <f t="shared" si="3"/>
        <v>0.20623309322828789</v>
      </c>
      <c r="T26">
        <f t="shared" si="4"/>
        <v>3.6033370201948157E-3</v>
      </c>
    </row>
    <row r="27" spans="5:22" x14ac:dyDescent="0.25">
      <c r="M27">
        <f t="shared" si="19"/>
        <v>2.9120390577318141E-2</v>
      </c>
      <c r="N27">
        <f t="shared" si="2"/>
        <v>6</v>
      </c>
      <c r="O27">
        <f t="shared" si="20"/>
        <v>9.203188966342371E-2</v>
      </c>
      <c r="P27">
        <f t="shared" si="1"/>
        <v>0.91207606328264235</v>
      </c>
      <c r="Q27">
        <f>EXP(-$H$12*N27)</f>
        <v>0.88564419040616404</v>
      </c>
      <c r="R27">
        <f t="shared" si="3"/>
        <v>0.20268148390199317</v>
      </c>
      <c r="T27">
        <f t="shared" si="4"/>
        <v>3.5412827438108976E-3</v>
      </c>
    </row>
    <row r="28" spans="5:22" x14ac:dyDescent="0.25">
      <c r="M28">
        <f t="shared" si="19"/>
        <v>2.9120390577318141E-2</v>
      </c>
      <c r="N28">
        <f t="shared" si="2"/>
        <v>6.25</v>
      </c>
      <c r="O28">
        <f t="shared" si="20"/>
        <v>9.9311987307753258E-2</v>
      </c>
      <c r="P28">
        <f t="shared" si="1"/>
        <v>0.90546017187069372</v>
      </c>
      <c r="Q28">
        <f t="shared" ref="Q28:Q30" si="21">EXP(-$H$12*N28)</f>
        <v>0.88117414954351547</v>
      </c>
      <c r="R28">
        <f t="shared" si="3"/>
        <v>0.20019574328447046</v>
      </c>
      <c r="T28">
        <f t="shared" si="4"/>
        <v>3.4978514930376473E-3</v>
      </c>
    </row>
    <row r="29" spans="5:22" x14ac:dyDescent="0.25">
      <c r="M29">
        <f t="shared" si="19"/>
        <v>2.9120390577318141E-2</v>
      </c>
      <c r="N29">
        <f t="shared" si="2"/>
        <v>6.5</v>
      </c>
      <c r="O29">
        <f t="shared" si="20"/>
        <v>0.10659208495208279</v>
      </c>
      <c r="P29">
        <f t="shared" si="1"/>
        <v>0.89889226989837256</v>
      </c>
      <c r="Q29">
        <f t="shared" si="21"/>
        <v>0.87672666995945958</v>
      </c>
      <c r="R29">
        <f t="shared" si="3"/>
        <v>0.19774048846317666</v>
      </c>
      <c r="T29">
        <f t="shared" si="4"/>
        <v>3.4549528948879752E-3</v>
      </c>
    </row>
    <row r="30" spans="5:22" x14ac:dyDescent="0.25">
      <c r="M30">
        <f t="shared" si="19"/>
        <v>2.9120390577318141E-2</v>
      </c>
      <c r="N30">
        <f t="shared" si="2"/>
        <v>6.75</v>
      </c>
      <c r="O30">
        <f t="shared" si="20"/>
        <v>0.11387218259641232</v>
      </c>
      <c r="P30">
        <f t="shared" si="1"/>
        <v>0.89237200926650806</v>
      </c>
      <c r="Q30">
        <f t="shared" si="21"/>
        <v>0.87230163778226522</v>
      </c>
      <c r="R30">
        <f t="shared" si="3"/>
        <v>0.19531534555204924</v>
      </c>
      <c r="T30">
        <f t="shared" si="4"/>
        <v>3.4125804167655805E-3</v>
      </c>
    </row>
    <row r="31" spans="5:22" x14ac:dyDescent="0.25">
      <c r="J31" s="21">
        <f>A15</f>
        <v>7</v>
      </c>
      <c r="K31" s="21">
        <f>C15</f>
        <v>9.9799999999999993E-3</v>
      </c>
      <c r="L31" s="21">
        <v>2.9120390577318141E-2</v>
      </c>
      <c r="M31" s="21">
        <f t="shared" si="19"/>
        <v>2.9120390577318141E-2</v>
      </c>
      <c r="N31" s="21">
        <f t="shared" si="2"/>
        <v>7</v>
      </c>
      <c r="O31" s="21">
        <f>$O23+M31*($N$31-$N$23)</f>
        <v>0.12115228024074186</v>
      </c>
      <c r="P31" s="21">
        <f t="shared" si="1"/>
        <v>0.88589904440092304</v>
      </c>
      <c r="Q31" s="21">
        <f>EXP(-$H$13*N31)</f>
        <v>0.86347528818854158</v>
      </c>
      <c r="R31" s="21">
        <f t="shared" si="3"/>
        <v>0.19193663881785333</v>
      </c>
      <c r="S31" s="21">
        <f>SUM($R$4:R31)*K31</f>
        <v>6.2708530011867422E-2</v>
      </c>
      <c r="T31" s="21">
        <f t="shared" si="4"/>
        <v>3.3535471216471968E-3</v>
      </c>
      <c r="U31" s="21">
        <f>SUM($T$4:T31)</f>
        <v>6.2708535823373934E-2</v>
      </c>
      <c r="V31" s="21">
        <f>S31-U31</f>
        <v>-5.8115065121322473E-9</v>
      </c>
    </row>
    <row r="32" spans="5:22" x14ac:dyDescent="0.25">
      <c r="M32">
        <f>$L$43</f>
        <v>2.8489744360575001E-2</v>
      </c>
      <c r="N32">
        <f t="shared" si="2"/>
        <v>7.25</v>
      </c>
      <c r="O32">
        <f>$O$31+M32*(N32-$N$31)</f>
        <v>0.12827471633088561</v>
      </c>
      <c r="P32">
        <f t="shared" si="1"/>
        <v>0.87961170225042262</v>
      </c>
      <c r="Q32">
        <f t="shared" ref="Q32:Q34" si="22">EXP(-$H$13*N32)</f>
        <v>0.85896036407564769</v>
      </c>
      <c r="R32">
        <f t="shared" si="3"/>
        <v>0.18956296921538854</v>
      </c>
      <c r="T32">
        <f t="shared" si="4"/>
        <v>3.2403466215972032E-3</v>
      </c>
    </row>
    <row r="33" spans="10:22" x14ac:dyDescent="0.25">
      <c r="M33">
        <f t="shared" ref="M33:M43" si="23">$L$43</f>
        <v>2.8489744360575001E-2</v>
      </c>
      <c r="N33">
        <f t="shared" si="2"/>
        <v>7.5</v>
      </c>
      <c r="O33">
        <f t="shared" ref="O33:O42" si="24">$O$31+M33*(N33-$N$31)</f>
        <v>0.13539715242102937</v>
      </c>
      <c r="P33">
        <f t="shared" si="1"/>
        <v>0.87336898219491976</v>
      </c>
      <c r="Q33">
        <f t="shared" si="22"/>
        <v>0.85446904751704511</v>
      </c>
      <c r="R33">
        <f t="shared" si="3"/>
        <v>0.18723346696922369</v>
      </c>
      <c r="T33">
        <f t="shared" si="4"/>
        <v>3.2005266358446499E-3</v>
      </c>
    </row>
    <row r="34" spans="10:22" x14ac:dyDescent="0.25">
      <c r="M34">
        <f t="shared" si="23"/>
        <v>2.8489744360575001E-2</v>
      </c>
      <c r="N34">
        <f t="shared" si="2"/>
        <v>7.75</v>
      </c>
      <c r="O34">
        <f t="shared" si="24"/>
        <v>0.14251958851117311</v>
      </c>
      <c r="P34">
        <f t="shared" si="1"/>
        <v>0.86717056754553157</v>
      </c>
      <c r="Q34">
        <f t="shared" si="22"/>
        <v>0.85000121507397719</v>
      </c>
      <c r="R34">
        <f t="shared" si="3"/>
        <v>0.1849325915204621</v>
      </c>
      <c r="T34">
        <f t="shared" si="4"/>
        <v>3.161195990107384E-3</v>
      </c>
    </row>
    <row r="35" spans="10:22" x14ac:dyDescent="0.25">
      <c r="M35">
        <f t="shared" si="23"/>
        <v>2.8489744360575001E-2</v>
      </c>
      <c r="N35">
        <f t="shared" si="2"/>
        <v>8</v>
      </c>
      <c r="O35">
        <f t="shared" si="24"/>
        <v>0.14964202460131687</v>
      </c>
      <c r="P35">
        <f t="shared" si="1"/>
        <v>0.86101614386095782</v>
      </c>
      <c r="Q35">
        <f>EXP(-$H$14*N35)</f>
        <v>0.84123855741483766</v>
      </c>
      <c r="R35">
        <f t="shared" si="3"/>
        <v>0.18172716200588593</v>
      </c>
      <c r="T35">
        <f t="shared" si="4"/>
        <v>3.1064031012783193E-3</v>
      </c>
    </row>
    <row r="36" spans="10:22" x14ac:dyDescent="0.25">
      <c r="M36">
        <f t="shared" si="23"/>
        <v>2.8489744360575001E-2</v>
      </c>
      <c r="N36">
        <f t="shared" si="2"/>
        <v>8.25</v>
      </c>
      <c r="O36">
        <f t="shared" si="24"/>
        <v>0.15676446069146061</v>
      </c>
      <c r="P36">
        <f t="shared" si="1"/>
        <v>0.85490539893152961</v>
      </c>
      <c r="Q36">
        <f t="shared" ref="Q36:Q38" si="25">EXP(-$H$14*N36)</f>
        <v>0.83670602064760602</v>
      </c>
      <c r="R36">
        <f t="shared" si="3"/>
        <v>0.17946523572667536</v>
      </c>
      <c r="T36">
        <f t="shared" si="4"/>
        <v>3.0677382438566445E-3</v>
      </c>
    </row>
    <row r="37" spans="10:22" x14ac:dyDescent="0.25">
      <c r="M37">
        <f t="shared" si="23"/>
        <v>2.8489744360575001E-2</v>
      </c>
      <c r="N37">
        <f t="shared" si="2"/>
        <v>8.5</v>
      </c>
      <c r="O37">
        <f t="shared" si="24"/>
        <v>0.16388689678160437</v>
      </c>
      <c r="P37">
        <f t="shared" si="1"/>
        <v>0.84883802276337106</v>
      </c>
      <c r="Q37">
        <f t="shared" si="25"/>
        <v>0.83219790488362633</v>
      </c>
      <c r="R37">
        <f t="shared" si="3"/>
        <v>0.17723146324921962</v>
      </c>
      <c r="T37">
        <f t="shared" si="4"/>
        <v>3.0295546411694368E-3</v>
      </c>
    </row>
    <row r="38" spans="10:22" x14ac:dyDescent="0.25">
      <c r="M38">
        <f t="shared" si="23"/>
        <v>2.8489744360575001E-2</v>
      </c>
      <c r="N38">
        <f t="shared" si="2"/>
        <v>8.75</v>
      </c>
      <c r="O38">
        <f t="shared" si="24"/>
        <v>0.1710093328717481</v>
      </c>
      <c r="P38">
        <f t="shared" si="1"/>
        <v>0.84281370756267404</v>
      </c>
      <c r="Q38">
        <f t="shared" si="25"/>
        <v>0.82771407854417567</v>
      </c>
      <c r="R38">
        <f t="shared" si="3"/>
        <v>0.17502549414806035</v>
      </c>
      <c r="T38">
        <f t="shared" si="4"/>
        <v>2.9918463031227611E-3</v>
      </c>
    </row>
    <row r="39" spans="10:22" x14ac:dyDescent="0.25">
      <c r="M39">
        <f t="shared" si="23"/>
        <v>2.8489744360575001E-2</v>
      </c>
      <c r="N39">
        <f t="shared" si="2"/>
        <v>9</v>
      </c>
      <c r="O39">
        <f t="shared" si="24"/>
        <v>0.17813176896189187</v>
      </c>
      <c r="P39">
        <f t="shared" si="1"/>
        <v>0.83683214772008307</v>
      </c>
      <c r="Q39">
        <f>EXP(-$H$15*N39)</f>
        <v>0.81885766618022027</v>
      </c>
      <c r="R39">
        <f t="shared" si="3"/>
        <v>0.17192386063326481</v>
      </c>
      <c r="T39">
        <f t="shared" si="4"/>
        <v>2.9388276796928187E-3</v>
      </c>
    </row>
    <row r="40" spans="10:22" x14ac:dyDescent="0.25">
      <c r="M40">
        <f t="shared" si="23"/>
        <v>2.8489744360575001E-2</v>
      </c>
      <c r="N40">
        <f t="shared" si="2"/>
        <v>9.25</v>
      </c>
      <c r="O40">
        <f t="shared" si="24"/>
        <v>0.1852542050520356</v>
      </c>
      <c r="P40">
        <f t="shared" si="1"/>
        <v>0.8308930397951928</v>
      </c>
      <c r="Q40">
        <f t="shared" ref="Q40:Q42" si="26">EXP(-$H$15*N40)</f>
        <v>0.81432457635938227</v>
      </c>
      <c r="R40">
        <f t="shared" si="3"/>
        <v>0.16975870085090605</v>
      </c>
      <c r="T40">
        <f t="shared" si="4"/>
        <v>2.9018169269333536E-3</v>
      </c>
    </row>
    <row r="41" spans="10:22" x14ac:dyDescent="0.25">
      <c r="M41">
        <f t="shared" si="23"/>
        <v>2.8489744360575001E-2</v>
      </c>
      <c r="N41">
        <f t="shared" si="2"/>
        <v>9.5</v>
      </c>
      <c r="O41">
        <f t="shared" si="24"/>
        <v>0.19237664114217937</v>
      </c>
      <c r="P41">
        <f t="shared" si="1"/>
        <v>0.82499608250115442</v>
      </c>
      <c r="Q41">
        <f t="shared" si="26"/>
        <v>0.80981658113577704</v>
      </c>
      <c r="R41">
        <f t="shared" si="3"/>
        <v>0.16762080846974381</v>
      </c>
      <c r="T41">
        <f t="shared" si="4"/>
        <v>2.8652722769771087E-3</v>
      </c>
    </row>
    <row r="42" spans="10:22" x14ac:dyDescent="0.25">
      <c r="M42">
        <f t="shared" si="23"/>
        <v>2.8489744360575001E-2</v>
      </c>
      <c r="N42">
        <f t="shared" si="2"/>
        <v>9.75</v>
      </c>
      <c r="O42">
        <f t="shared" si="24"/>
        <v>0.19949907723232313</v>
      </c>
      <c r="P42">
        <f t="shared" si="1"/>
        <v>0.81914097668939134</v>
      </c>
      <c r="Q42">
        <f t="shared" si="26"/>
        <v>0.80533354158896941</v>
      </c>
      <c r="R42">
        <f t="shared" si="3"/>
        <v>0.16550984009194941</v>
      </c>
      <c r="T42">
        <f t="shared" si="4"/>
        <v>2.8291878598591877E-3</v>
      </c>
    </row>
    <row r="43" spans="10:22" x14ac:dyDescent="0.25">
      <c r="J43" s="21">
        <f>A16</f>
        <v>10</v>
      </c>
      <c r="K43" s="21">
        <f>C16</f>
        <v>1.1770000000000001E-2</v>
      </c>
      <c r="L43" s="21">
        <v>2.8489744360575001E-2</v>
      </c>
      <c r="M43" s="21">
        <f t="shared" si="23"/>
        <v>2.8489744360575001E-2</v>
      </c>
      <c r="N43" s="21">
        <f t="shared" si="2"/>
        <v>10</v>
      </c>
      <c r="O43" s="21">
        <f>$O31+M43*($N$43-$N$31)</f>
        <v>0.20662151332246687</v>
      </c>
      <c r="P43" s="21">
        <f t="shared" si="1"/>
        <v>0.81332742533442404</v>
      </c>
      <c r="Q43" s="21">
        <f>EXP(-$H$16*N43)</f>
        <v>0.79715989438984836</v>
      </c>
      <c r="R43" s="21">
        <f t="shared" si="3"/>
        <v>0.16266729236900865</v>
      </c>
      <c r="S43" s="21">
        <f>SUM($R$4:R43)*K43</f>
        <v>9.8821846606411995E-2</v>
      </c>
      <c r="T43" s="21">
        <f t="shared" si="4"/>
        <v>2.7805979904934183E-3</v>
      </c>
      <c r="U43" s="21">
        <f>SUM($T$4:T43)</f>
        <v>9.8821850094306232E-2</v>
      </c>
      <c r="V43" s="21">
        <f>S43-U43</f>
        <v>-3.4878942373195443E-9</v>
      </c>
    </row>
  </sheetData>
  <mergeCells count="3">
    <mergeCell ref="E1:G1"/>
    <mergeCell ref="A7:C7"/>
    <mergeCell ref="X2:AC2"/>
  </mergeCells>
  <phoneticPr fontId="2" type="noConversion"/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question1</vt:lpstr>
      <vt:lpstr>question2</vt:lpstr>
      <vt:lpstr>question3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TonyWan</dc:creator>
  <cp:lastModifiedBy>Yuxuan Xia</cp:lastModifiedBy>
  <dcterms:created xsi:type="dcterms:W3CDTF">2017-11-05T19:34:40Z</dcterms:created>
  <dcterms:modified xsi:type="dcterms:W3CDTF">2017-11-16T18:05:05Z</dcterms:modified>
</cp:coreProperties>
</file>