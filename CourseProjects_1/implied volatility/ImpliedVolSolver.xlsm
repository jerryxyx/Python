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195" windowHeight="10545"/>
  </bookViews>
  <sheets>
    <sheet name="VolSolver" sheetId="1" r:id="rId1"/>
  </sheets>
  <functionGroups builtInGroupCount="17"/>
  <calcPr calcId="145621" calcMode="manual" calcCompleted="0" calcOnSave="0"/>
</workbook>
</file>

<file path=xl/calcChain.xml><?xml version="1.0" encoding="utf-8"?>
<calcChain xmlns="http://schemas.openxmlformats.org/spreadsheetml/2006/main">
  <c r="C15" i="1" l="1"/>
  <c r="H20" i="1" s="1"/>
  <c r="D15" i="1"/>
  <c r="H19" i="1"/>
</calcChain>
</file>

<file path=xl/sharedStrings.xml><?xml version="1.0" encoding="utf-8"?>
<sst xmlns="http://schemas.openxmlformats.org/spreadsheetml/2006/main" count="27" uniqueCount="27">
  <si>
    <t>Parameters</t>
  </si>
  <si>
    <t>Call or Put</t>
  </si>
  <si>
    <t>N Time Steps</t>
  </si>
  <si>
    <t>Time to Maturity</t>
  </si>
  <si>
    <t>Rate</t>
  </si>
  <si>
    <t>Vol</t>
  </si>
  <si>
    <t>Spot Price</t>
  </si>
  <si>
    <t>Strike</t>
  </si>
  <si>
    <t>Div</t>
  </si>
  <si>
    <t>Option Price</t>
  </si>
  <si>
    <t>Option Delta</t>
  </si>
  <si>
    <t>Option Gamma</t>
  </si>
  <si>
    <t>Option Vega</t>
  </si>
  <si>
    <t>Option Theta</t>
  </si>
  <si>
    <t>Option Rho</t>
  </si>
  <si>
    <t>Implied Volatility Solver</t>
  </si>
  <si>
    <t>Pricing &amp; Greeks</t>
  </si>
  <si>
    <t>American</t>
  </si>
  <si>
    <t>Black-Scholes</t>
  </si>
  <si>
    <t>Volatility Solver</t>
  </si>
  <si>
    <t>Min Vol</t>
  </si>
  <si>
    <t>Max Vol</t>
  </si>
  <si>
    <t>American IV</t>
  </si>
  <si>
    <t>Black-Scholes IV</t>
  </si>
  <si>
    <t>Divisions</t>
  </si>
  <si>
    <t>Tolerance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</si>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</sst>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[Red]\(#,##0.00\);_-* &quot;-&quot;_-;_-@_-"/>
    <numFmt numFmtId="165" formatCode="#,##0\ ;[Red]\(#,##0\);&quot;-&quot;"/>
    <numFmt numFmtId="166" formatCode="0.00000"/>
    <numFmt numFmtId="167" formatCode="0.0%"/>
    <numFmt numFmtId="168" formatCode="#,##0.0\ ;[Red]\(#,##0.0\);&quot;-&quot;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4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1"/>
    <xf numFmtId="0" fontId="3" fillId="0" borderId="0" xfId="2" quotePrefix="1" applyFill="1" applyBorder="1" applyAlignment="1" applyProtection="1">
      <protection hidden="1"/>
    </xf>
    <xf numFmtId="0" fontId="4" fillId="0" borderId="0" xfId="1" applyFont="1" applyFill="1" applyBorder="1" applyProtection="1">
      <protection hidden="1"/>
    </xf>
    <xf numFmtId="0" fontId="4" fillId="0" borderId="0" xfId="1" applyFont="1" applyFill="1" applyBorder="1" applyAlignment="1" applyProtection="1">
      <alignment horizontal="center"/>
      <protection hidden="1"/>
    </xf>
    <xf numFmtId="0" fontId="6" fillId="0" borderId="0" xfId="1" applyFont="1" applyFill="1" applyProtection="1">
      <protection hidden="1"/>
    </xf>
    <xf numFmtId="0" fontId="4" fillId="0" borderId="4" xfId="1" applyFont="1" applyFill="1" applyBorder="1" applyProtection="1">
      <protection hidden="1"/>
    </xf>
    <xf numFmtId="165" fontId="4" fillId="0" borderId="5" xfId="3" applyNumberFormat="1" applyFont="1" applyFill="1" applyBorder="1" applyAlignment="1" applyProtection="1">
      <alignment horizontal="right" vertical="center"/>
      <protection locked="0"/>
    </xf>
    <xf numFmtId="0" fontId="4" fillId="0" borderId="4" xfId="1" applyNumberFormat="1" applyFont="1" applyFill="1" applyBorder="1" applyAlignment="1" applyProtection="1">
      <alignment vertical="center"/>
      <protection hidden="1"/>
    </xf>
    <xf numFmtId="164" fontId="4" fillId="0" borderId="0" xfId="1" applyNumberFormat="1" applyFont="1" applyFill="1" applyBorder="1" applyAlignment="1" applyProtection="1">
      <alignment vertical="center"/>
      <protection hidden="1"/>
    </xf>
    <xf numFmtId="0" fontId="4" fillId="0" borderId="5" xfId="1" applyNumberFormat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4" fillId="0" borderId="6" xfId="1" applyNumberFormat="1" applyFont="1" applyFill="1" applyBorder="1" applyAlignment="1" applyProtection="1">
      <alignment vertical="center"/>
      <protection hidden="1"/>
    </xf>
    <xf numFmtId="0" fontId="4" fillId="0" borderId="7" xfId="1" applyFont="1" applyFill="1" applyBorder="1" applyAlignment="1" applyProtection="1">
      <alignment vertical="center"/>
      <protection hidden="1"/>
    </xf>
    <xf numFmtId="0" fontId="4" fillId="0" borderId="1" xfId="1" applyFont="1" applyFill="1" applyBorder="1" applyProtection="1">
      <protection hidden="1"/>
    </xf>
    <xf numFmtId="0" fontId="4" fillId="0" borderId="2" xfId="1" applyFont="1" applyFill="1" applyBorder="1" applyProtection="1">
      <protection hidden="1"/>
    </xf>
    <xf numFmtId="0" fontId="4" fillId="0" borderId="6" xfId="1" applyFont="1" applyFill="1" applyBorder="1" applyProtection="1">
      <protection hidden="1"/>
    </xf>
    <xf numFmtId="0" fontId="4" fillId="0" borderId="7" xfId="1" applyFont="1" applyFill="1" applyBorder="1" applyProtection="1">
      <protection hidden="1"/>
    </xf>
    <xf numFmtId="0" fontId="4" fillId="0" borderId="1" xfId="1" applyNumberFormat="1" applyFont="1" applyFill="1" applyBorder="1" applyAlignment="1" applyProtection="1">
      <alignment vertical="center"/>
      <protection hidden="1"/>
    </xf>
    <xf numFmtId="0" fontId="4" fillId="0" borderId="3" xfId="1" applyFont="1" applyFill="1" applyBorder="1" applyAlignment="1" applyProtection="1">
      <alignment horizontal="right"/>
      <protection hidden="1"/>
    </xf>
    <xf numFmtId="0" fontId="5" fillId="0" borderId="9" xfId="1" applyFont="1" applyFill="1" applyBorder="1" applyAlignment="1" applyProtection="1">
      <protection hidden="1"/>
    </xf>
    <xf numFmtId="0" fontId="5" fillId="0" borderId="10" xfId="1" applyFont="1" applyFill="1" applyBorder="1" applyAlignment="1" applyProtection="1">
      <protection hidden="1"/>
    </xf>
    <xf numFmtId="0" fontId="5" fillId="0" borderId="11" xfId="1" applyFont="1" applyFill="1" applyBorder="1" applyAlignment="1" applyProtection="1">
      <protection hidden="1"/>
    </xf>
    <xf numFmtId="166" fontId="4" fillId="0" borderId="13" xfId="3" quotePrefix="1" applyNumberFormat="1" applyFont="1" applyFill="1" applyBorder="1" applyAlignment="1" applyProtection="1">
      <alignment horizontal="right" vertical="center"/>
      <protection locked="0"/>
    </xf>
    <xf numFmtId="0" fontId="4" fillId="0" borderId="14" xfId="1" applyFont="1" applyFill="1" applyBorder="1" applyAlignment="1" applyProtection="1">
      <alignment horizontal="center"/>
      <protection hidden="1"/>
    </xf>
    <xf numFmtId="0" fontId="4" fillId="0" borderId="14" xfId="1" applyFont="1" applyFill="1" applyBorder="1" applyProtection="1">
      <protection hidden="1"/>
    </xf>
    <xf numFmtId="0" fontId="4" fillId="0" borderId="15" xfId="1" applyFont="1" applyFill="1" applyBorder="1" applyProtection="1">
      <protection hidden="1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4" xfId="0" applyFill="1" applyBorder="1"/>
    <xf numFmtId="167" fontId="4" fillId="0" borderId="5" xfId="3" applyNumberFormat="1" applyFont="1" applyFill="1" applyBorder="1" applyAlignment="1" applyProtection="1">
      <alignment horizontal="right" vertical="center"/>
      <protection locked="0"/>
    </xf>
    <xf numFmtId="168" fontId="4" fillId="0" borderId="5" xfId="3" applyNumberFormat="1" applyFont="1" applyFill="1" applyBorder="1" applyAlignment="1" applyProtection="1">
      <alignment horizontal="right" vertical="center"/>
      <protection locked="0"/>
    </xf>
    <xf numFmtId="167" fontId="4" fillId="0" borderId="8" xfId="3" applyNumberFormat="1" applyFont="1" applyFill="1" applyBorder="1" applyAlignment="1" applyProtection="1">
      <alignment horizontal="right" vertical="center"/>
      <protection locked="0"/>
    </xf>
    <xf numFmtId="0" fontId="5" fillId="0" borderId="12" xfId="1" applyFont="1" applyFill="1" applyBorder="1" applyAlignment="1" applyProtection="1">
      <protection hidden="1"/>
    </xf>
    <xf numFmtId="0" fontId="5" fillId="0" borderId="9" xfId="1" applyFont="1" applyFill="1" applyBorder="1" applyAlignment="1" applyProtection="1">
      <alignment horizontal="center"/>
      <protection hidden="1"/>
    </xf>
    <xf numFmtId="0" fontId="5" fillId="0" borderId="10" xfId="1" applyFont="1" applyFill="1" applyBorder="1" applyAlignment="1" applyProtection="1">
      <alignment horizontal="center"/>
      <protection hidden="1"/>
    </xf>
    <xf numFmtId="0" fontId="5" fillId="0" borderId="11" xfId="1" applyFont="1" applyFill="1" applyBorder="1" applyAlignment="1" applyProtection="1">
      <alignment horizontal="center"/>
      <protection hidden="1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4">
    <cellStyle name="Hyperlink" xfId="2" builtinId="8"/>
    <cellStyle name="Normal" xfId="0" builtinId="0"/>
    <cellStyle name="Normal 2" xfId="1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0"/>
  <sheetViews>
    <sheetView tabSelected="1" workbookViewId="0">
      <selection activeCell="H20" sqref="H20"/>
    </sheetView>
  </sheetViews>
  <sheetFormatPr defaultRowHeight="15" x14ac:dyDescent="0.25"/>
  <cols>
    <col min="3" max="3" width="12.7109375" bestFit="1" customWidth="1"/>
    <col min="4" max="4" width="12.7109375" customWidth="1"/>
    <col min="7" max="7" width="21.140625" bestFit="1" customWidth="1"/>
  </cols>
  <sheetData>
    <row r="1" spans="1:8" ht="27" customHeight="1" x14ac:dyDescent="0.4">
      <c r="A1" s="5" t="s">
        <v>15</v>
      </c>
      <c r="B1" s="1"/>
      <c r="C1" s="1"/>
    </row>
    <row r="2" spans="1:8" x14ac:dyDescent="0.25">
      <c r="A2" s="2"/>
      <c r="B2" s="3"/>
      <c r="C2" s="3"/>
    </row>
    <row r="3" spans="1:8" ht="15.75" thickBot="1" x14ac:dyDescent="0.3">
      <c r="A3" s="1"/>
      <c r="B3" s="1"/>
      <c r="C3" s="1"/>
    </row>
    <row r="4" spans="1:8" ht="15.75" thickBot="1" x14ac:dyDescent="0.3">
      <c r="A4" s="35" t="s">
        <v>0</v>
      </c>
      <c r="B4" s="36"/>
      <c r="C4" s="37"/>
    </row>
    <row r="5" spans="1:8" x14ac:dyDescent="0.25">
      <c r="A5" s="14" t="s">
        <v>1</v>
      </c>
      <c r="B5" s="15"/>
      <c r="C5" s="19" t="s">
        <v>26</v>
      </c>
    </row>
    <row r="6" spans="1:8" x14ac:dyDescent="0.25">
      <c r="A6" s="6" t="s">
        <v>2</v>
      </c>
      <c r="B6" s="3"/>
      <c r="C6" s="7">
        <v>100</v>
      </c>
    </row>
    <row r="7" spans="1:8" x14ac:dyDescent="0.25">
      <c r="A7" s="8" t="s">
        <v>3</v>
      </c>
      <c r="B7" s="9"/>
      <c r="C7" s="10">
        <v>1</v>
      </c>
    </row>
    <row r="8" spans="1:8" x14ac:dyDescent="0.25">
      <c r="A8" s="8" t="s">
        <v>4</v>
      </c>
      <c r="B8" s="3"/>
      <c r="C8" s="31">
        <v>0.02</v>
      </c>
    </row>
    <row r="9" spans="1:8" x14ac:dyDescent="0.25">
      <c r="A9" s="8" t="s">
        <v>5</v>
      </c>
      <c r="B9" s="11"/>
      <c r="C9" s="31">
        <v>0.04</v>
      </c>
    </row>
    <row r="10" spans="1:8" x14ac:dyDescent="0.25">
      <c r="A10" s="8" t="s">
        <v>6</v>
      </c>
      <c r="B10" s="11"/>
      <c r="C10" s="32">
        <v>30</v>
      </c>
    </row>
    <row r="11" spans="1:8" x14ac:dyDescent="0.25">
      <c r="A11" s="8" t="s">
        <v>7</v>
      </c>
      <c r="B11" s="11"/>
      <c r="C11" s="32">
        <v>30</v>
      </c>
    </row>
    <row r="12" spans="1:8" ht="15.75" thickBot="1" x14ac:dyDescent="0.3">
      <c r="A12" s="12" t="s">
        <v>8</v>
      </c>
      <c r="B12" s="13"/>
      <c r="C12" s="33">
        <v>0</v>
      </c>
    </row>
    <row r="13" spans="1:8" ht="15.75" thickBot="1" x14ac:dyDescent="0.3">
      <c r="A13" s="1"/>
      <c r="B13" s="1"/>
      <c r="C13" s="1"/>
    </row>
    <row r="14" spans="1:8" ht="15.75" thickBot="1" x14ac:dyDescent="0.3">
      <c r="A14" s="20" t="s">
        <v>16</v>
      </c>
      <c r="B14" s="21"/>
      <c r="C14" s="34" t="s">
        <v>17</v>
      </c>
      <c r="D14" s="22" t="s">
        <v>18</v>
      </c>
      <c r="G14" s="38" t="s">
        <v>19</v>
      </c>
      <c r="H14" s="39"/>
    </row>
    <row r="15" spans="1:8" x14ac:dyDescent="0.25">
      <c r="A15" s="18" t="s">
        <v>9</v>
      </c>
      <c r="B15" s="15"/>
      <c r="C15" s="23">
        <f ca="1">AmericanOption(C5,C10,C11,C7,C8,C9,C12,C6)</f>
        <v>0.82835688861491286</v>
      </c>
      <c r="D15" s="27">
        <f ca="1">BSPrice(C5,C10,C11,C7,C8,C9,C12)</f>
        <v>0.82901061448280622</v>
      </c>
      <c r="G15" s="27" t="s">
        <v>20</v>
      </c>
      <c r="H15" s="27">
        <v>0.01</v>
      </c>
    </row>
    <row r="16" spans="1:8" x14ac:dyDescent="0.25">
      <c r="A16" s="6" t="s">
        <v>10</v>
      </c>
      <c r="B16" s="4"/>
      <c r="C16" s="24"/>
      <c r="D16" s="28"/>
      <c r="G16" s="28" t="s">
        <v>21</v>
      </c>
      <c r="H16" s="28">
        <v>1</v>
      </c>
    </row>
    <row r="17" spans="1:8" x14ac:dyDescent="0.25">
      <c r="A17" s="6" t="s">
        <v>11</v>
      </c>
      <c r="B17" s="4"/>
      <c r="C17" s="24"/>
      <c r="D17" s="28"/>
      <c r="G17" s="28" t="s">
        <v>24</v>
      </c>
      <c r="H17" s="28">
        <v>10</v>
      </c>
    </row>
    <row r="18" spans="1:8" x14ac:dyDescent="0.25">
      <c r="A18" s="6" t="s">
        <v>12</v>
      </c>
      <c r="B18" s="3"/>
      <c r="C18" s="25"/>
      <c r="D18" s="28"/>
      <c r="G18" s="30" t="s">
        <v>25</v>
      </c>
      <c r="H18" s="30">
        <v>9.9999999999999995E-7</v>
      </c>
    </row>
    <row r="19" spans="1:8" x14ac:dyDescent="0.25">
      <c r="A19" s="6" t="s">
        <v>13</v>
      </c>
      <c r="B19" s="3"/>
      <c r="C19" s="25"/>
      <c r="D19" s="28"/>
      <c r="G19" s="28" t="s">
        <v>23</v>
      </c>
      <c r="H19" s="28">
        <f ca="1">GetVol("BlackScholes", D15,C5,C10,C11,C7,C8,C12,C6,H15,H16,H17,H18)</f>
        <v>3.9999999713502661E-2</v>
      </c>
    </row>
    <row r="20" spans="1:8" ht="15.75" thickBot="1" x14ac:dyDescent="0.3">
      <c r="A20" s="16" t="s">
        <v>14</v>
      </c>
      <c r="B20" s="17"/>
      <c r="C20" s="26"/>
      <c r="D20" s="29"/>
      <c r="G20" s="29" t="s">
        <v>22</v>
      </c>
      <c r="H20" s="29">
        <f ca="1">GetVol("American", C15,C5,C10,C11,C7,C8,C12,C6,H15,H16,H17,H18)</f>
        <v>3.9999999856096188E-2</v>
      </c>
    </row>
  </sheetData>
  <mergeCells count="2">
    <mergeCell ref="A4:C4"/>
    <mergeCell ref="G14:H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VolSolver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Tydniouk, Igor [ICG-MKTS]</dc:creator>
  <cp:lastModifiedBy>Tydniouk, Igor [ICG-MKTS]</cp:lastModifiedBy>
  <dcterms:created xsi:type="dcterms:W3CDTF">2015-10-01T21:32:38Z</dcterms:created>
  <dcterms:modified xsi:type="dcterms:W3CDTF">2017-03-03T22:35:13Z</dcterms:modified>
</cp:coreProperties>
</file>